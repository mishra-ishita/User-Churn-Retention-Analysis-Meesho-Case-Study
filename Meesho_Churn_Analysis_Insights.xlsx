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lyst\Projects\Why do Meesho users stop buying\"/>
    </mc:Choice>
  </mc:AlternateContent>
  <xr:revisionPtr revIDLastSave="0" documentId="8_{574E81D8-890C-4E57-BA83-0E0FBEC397D8}" xr6:coauthVersionLast="47" xr6:coauthVersionMax="47" xr10:uidLastSave="{00000000-0000-0000-0000-000000000000}"/>
  <bookViews>
    <workbookView xWindow="-110" yWindow="-110" windowWidth="19420" windowHeight="11500" firstSheet="2" activeTab="5" xr2:uid="{8C830E3A-9C0F-4040-BB5D-1DFFFC1C40BC}"/>
  </bookViews>
  <sheets>
    <sheet name="Dashboard" sheetId="7" r:id="rId1"/>
    <sheet name="Segment Analysis" sheetId="2" r:id="rId2"/>
    <sheet name="Root Cause" sheetId="3" r:id="rId3"/>
    <sheet name="Cohort Retention" sheetId="4" r:id="rId4"/>
    <sheet name="RFM Segments" sheetId="5" r:id="rId5"/>
    <sheet name="PM Case Stud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<sst xmlns="http://schemas.openxmlformats.org/spreadsheetml/2006/main" count="465" uniqueCount="364">
  <si>
    <t>MEESHO BUYER CHURN ANALYSIS — TIER 2 INDIA</t>
  </si>
  <si>
    <t>Analyst Project  |  MySQL + Excel  |  Jan 2023–Mar 2024  |  5,000 Users  |  20 Tier 2 Cities</t>
  </si>
  <si>
    <t>OVERALL CHURN RATE</t>
  </si>
  <si>
    <t>1,853 users bought just once</t>
  </si>
  <si>
    <t>₹1,958 gap per churned user</t>
  </si>
  <si>
    <t>₹45.6L</t>
  </si>
  <si>
    <t>Metric</t>
  </si>
  <si>
    <t>Retained</t>
  </si>
  <si>
    <t>Churned</t>
  </si>
  <si>
    <t>Gap</t>
  </si>
  <si>
    <t>Insight</t>
  </si>
  <si>
    <t>Avg orders per user</t>
  </si>
  <si>
    <t>-2.3 orders</t>
  </si>
  <si>
    <t>Retained order 2.6x more</t>
  </si>
  <si>
    <t>Avg revenue per user</t>
  </si>
  <si>
    <t>₹1,958 revenue gap</t>
  </si>
  <si>
    <t>Avg order value</t>
  </si>
  <si>
    <t>Churned spend MORE — not price</t>
  </si>
  <si>
    <t>Avg session duration</t>
  </si>
  <si>
    <t>358 sec</t>
  </si>
  <si>
    <t>120 sec</t>
  </si>
  <si>
    <t>-238 sec</t>
  </si>
  <si>
    <t>Churned disengage fast</t>
  </si>
  <si>
    <t>Pages per session</t>
  </si>
  <si>
    <t>-10 pages</t>
  </si>
  <si>
    <t>67% less browsing</t>
  </si>
  <si>
    <t>Cart add rate</t>
  </si>
  <si>
    <t>-24.8pp</t>
  </si>
  <si>
    <t>Low intent from start</t>
  </si>
  <si>
    <t>Conversion rate</t>
  </si>
  <si>
    <t>-19.7pp</t>
  </si>
  <si>
    <t>5x lower conversion</t>
  </si>
  <si>
    <t>Churn Reason</t>
  </si>
  <si>
    <t>Users</t>
  </si>
  <si>
    <t>Priority</t>
  </si>
  <si>
    <t>PM Recommendation</t>
  </si>
  <si>
    <t>Wrong item received</t>
  </si>
  <si>
    <t>P0</t>
  </si>
  <si>
    <t>Quality control + smart packaging</t>
  </si>
  <si>
    <t>Difficult return process</t>
  </si>
  <si>
    <t>App issues</t>
  </si>
  <si>
    <t>Performance fix for low-end Android</t>
  </si>
  <si>
    <t>Better deal elsewhere</t>
  </si>
  <si>
    <t>P1</t>
  </si>
  <si>
    <t>Price match alerts + loyalty rewards</t>
  </si>
  <si>
    <t>Late delivery</t>
  </si>
  <si>
    <t>Hard 7-day SLA with proactive alerts</t>
  </si>
  <si>
    <t>Poor product quality</t>
  </si>
  <si>
    <t>Seller rating system + warnings</t>
  </si>
  <si>
    <t>High delivery charges</t>
  </si>
  <si>
    <t>P2</t>
  </si>
  <si>
    <t>Free delivery threshold at ₹399</t>
  </si>
  <si>
    <t>No suitable products</t>
  </si>
  <si>
    <t>Expand Tier 2 category catalogue</t>
  </si>
  <si>
    <t>Price is NOT the problem</t>
  </si>
  <si>
    <t>Churned users spend ₹892 vs ₹869 — experience is the issue</t>
  </si>
  <si>
    <t>Delivery cliff at day 8</t>
  </si>
  <si>
    <t>Rating crashes 4.07 to 2.82 — 7-day SLA is critical</t>
  </si>
  <si>
    <t>Paid ads waste budget</t>
  </si>
  <si>
    <t>Paid Ad 58.3% churn vs App Store 44.7% — 13.6pp gap</t>
  </si>
  <si>
    <t>Habit not forming</t>
  </si>
  <si>
    <t>Even 5★ users churn at 50.5% — satisfaction ≠ retention</t>
  </si>
  <si>
    <t>App performance barrier</t>
  </si>
  <si>
    <t>Low-end Android (41% of users) churns 9.6pp more than iOS</t>
  </si>
  <si>
    <t>₹45.6L winback opportunity</t>
  </si>
  <si>
    <t>950 At Risk + 1,546 Hibernating users — highest ROI action</t>
  </si>
  <si>
    <t>Finding</t>
  </si>
  <si>
    <t>Explanation</t>
  </si>
  <si>
    <t>%</t>
  </si>
  <si>
    <t>One-tap return — 24hr pickup</t>
  </si>
  <si>
    <t>2,495 of 5,000 users churned</t>
  </si>
  <si>
    <t>WHY USERS CHURN — TOP REASONS</t>
  </si>
  <si>
    <t>RETAINED VS CHURNED BEHAVIOUR</t>
  </si>
  <si>
    <t>KEY INSIGHTS</t>
  </si>
  <si>
    <t>ONE-TIME BUYERS</t>
  </si>
  <si>
    <t>REVENUE LOST</t>
  </si>
  <si>
    <t>₹48.8L</t>
  </si>
  <si>
    <t>WINBACK OPPORTUNITY</t>
  </si>
  <si>
    <t>At Risk + Hibernating segments</t>
  </si>
  <si>
    <t xml:space="preserve">  SEGMENT ANALYSIS — WHO IS CHURNING AND WHERE</t>
  </si>
  <si>
    <t>CHURN BY CITY — SORTED HIGHEST TO LOWEST</t>
  </si>
  <si>
    <t>City</t>
  </si>
  <si>
    <t>Total Users</t>
  </si>
  <si>
    <t>Churn Rate %</t>
  </si>
  <si>
    <t>Status</t>
  </si>
  <si>
    <t>Vijayawada</t>
  </si>
  <si>
    <t>🔴 Critical</t>
  </si>
  <si>
    <t>Lucknow</t>
  </si>
  <si>
    <t>Madurai</t>
  </si>
  <si>
    <t>Kota</t>
  </si>
  <si>
    <t>🔴 High</t>
  </si>
  <si>
    <t>Agra</t>
  </si>
  <si>
    <t>Visakhapatnam</t>
  </si>
  <si>
    <t>Coimbatore</t>
  </si>
  <si>
    <t>🟡 Watch</t>
  </si>
  <si>
    <t>Jodhpur</t>
  </si>
  <si>
    <t>Indore</t>
  </si>
  <si>
    <t>Patna</t>
  </si>
  <si>
    <t>Bhopal</t>
  </si>
  <si>
    <t>Surat</t>
  </si>
  <si>
    <t>Aurangabad</t>
  </si>
  <si>
    <t>🟢 OK</t>
  </si>
  <si>
    <t>Guwahati</t>
  </si>
  <si>
    <t>Ranchi</t>
  </si>
  <si>
    <t>Jamshedpur</t>
  </si>
  <si>
    <t>Vadodara</t>
  </si>
  <si>
    <t>🟢 Good</t>
  </si>
  <si>
    <t>Rajkot</t>
  </si>
  <si>
    <t>Meerut</t>
  </si>
  <si>
    <t>🟢 Best</t>
  </si>
  <si>
    <t>Nashik</t>
  </si>
  <si>
    <t>Paid Ad</t>
  </si>
  <si>
    <t>⚠ Worst — avoid scaling</t>
  </si>
  <si>
    <t>Organic Search</t>
  </si>
  <si>
    <t>Average</t>
  </si>
  <si>
    <t>Referral</t>
  </si>
  <si>
    <t>Social Media</t>
  </si>
  <si>
    <t>High volume, avg churn</t>
  </si>
  <si>
    <t>Word of Mouth</t>
  </si>
  <si>
    <t>✓ Better quality</t>
  </si>
  <si>
    <t>App Store</t>
  </si>
  <si>
    <t>✓ Best retention</t>
  </si>
  <si>
    <t>Channel</t>
  </si>
  <si>
    <t>Churn %</t>
  </si>
  <si>
    <t>Signal</t>
  </si>
  <si>
    <t>Age Group</t>
  </si>
  <si>
    <t>45+</t>
  </si>
  <si>
    <t>⚠ Highest</t>
  </si>
  <si>
    <t>35–44</t>
  </si>
  <si>
    <t>⚠ High</t>
  </si>
  <si>
    <t>18–24</t>
  </si>
  <si>
    <t>25–34</t>
  </si>
  <si>
    <t>✓ Best — target segment</t>
  </si>
  <si>
    <t>Device Type</t>
  </si>
  <si>
    <t>Android Low-end</t>
  </si>
  <si>
    <t>⚠ 41% of users</t>
  </si>
  <si>
    <t>Android High-end</t>
  </si>
  <si>
    <t>Android Mid-range</t>
  </si>
  <si>
    <t>iOS</t>
  </si>
  <si>
    <t>✓ Best</t>
  </si>
  <si>
    <t>CHURN BY ACQUISITION CHANNEL</t>
  </si>
  <si>
    <t xml:space="preserve">CHURN BY DEVICE </t>
  </si>
  <si>
    <t>CHURN BY AGE</t>
  </si>
  <si>
    <t>City · Acquisition Channel · Device Type · Age Group</t>
  </si>
  <si>
    <t xml:space="preserve">  ROOT CAUSE ANALYSIS — WHY DO USERS CHURN?</t>
  </si>
  <si>
    <t xml:space="preserve">  Delivery Days · Delivery Fee · First Order Rating · Session Behaviour</t>
  </si>
  <si>
    <t>Delivery Days</t>
  </si>
  <si>
    <t>Churn Rate</t>
  </si>
  <si>
    <t>Avg Rating</t>
  </si>
  <si>
    <t>Return Rate</t>
  </si>
  <si>
    <t>✓ Fast</t>
  </si>
  <si>
    <t>✓ Good</t>
  </si>
  <si>
    <t>✓ Acceptable</t>
  </si>
  <si>
    <t>✓ Max SLA target</t>
  </si>
  <si>
    <t>⚠ CLIFF — rating crashes</t>
  </si>
  <si>
    <t>🔴 Critical failure</t>
  </si>
  <si>
    <t>Fee Bucket</t>
  </si>
  <si>
    <t>Avg Order Value</t>
  </si>
  <si>
    <t>Action</t>
  </si>
  <si>
    <t>Free (₹0)</t>
  </si>
  <si>
    <t>Free = high AOV = high expectations</t>
  </si>
  <si>
    <t>Improve experience for big orders</t>
  </si>
  <si>
    <t>High fee (₹40+)</t>
  </si>
  <si>
    <t>Review fee structure</t>
  </si>
  <si>
    <t>Low fee (₹1–29)</t>
  </si>
  <si>
    <t>Lower churn despite fee</t>
  </si>
  <si>
    <t>Acceptable range</t>
  </si>
  <si>
    <t>Mid fee (₹30–39)</t>
  </si>
  <si>
    <t>✓ Lowest churn!</t>
  </si>
  <si>
    <t>Keep — users accept mid fees</t>
  </si>
  <si>
    <t>Rating</t>
  </si>
  <si>
    <t>Churned barely open app</t>
  </si>
  <si>
    <t>No browsing habit</t>
  </si>
  <si>
    <t>-25pp</t>
  </si>
  <si>
    <t>Low purchase intent</t>
  </si>
  <si>
    <t>What it means</t>
  </si>
  <si>
    <t>5x lower — decisive signal</t>
  </si>
  <si>
    <t>Fee not the main driver</t>
  </si>
  <si>
    <t>1★ Very Poor</t>
  </si>
  <si>
    <t>Churns badly</t>
  </si>
  <si>
    <t>2★ Poor</t>
  </si>
  <si>
    <t>3★ Average</t>
  </si>
  <si>
    <t>Still churns</t>
  </si>
  <si>
    <t>4★ Good</t>
  </si>
  <si>
    <t>5★ Excellent</t>
  </si>
  <si>
    <t>Still churns!</t>
  </si>
  <si>
    <t>DELIVERY FEE SURPRISE</t>
  </si>
  <si>
    <t>FIRST ORDER RATING SHOCK</t>
  </si>
  <si>
    <t>SESSION BEHAVIOUR</t>
  </si>
  <si>
    <t>SHOCKING: Even 5★ users churn at 50.5% — almost identical to 1★ users at 51.2%. Satisfaction does NOT drive retention. This means fixing bad experiences alone will NOT solve churn. The solution is HABIT ENGINEERING — nudges, reminders, personalisation.</t>
  </si>
  <si>
    <t>COUNTERINTUITIVE: Free delivery users churn MORE than paid delivery users. High AOV orders have higher expectations — when experience fails, 
disappointment is bigger.</t>
  </si>
  <si>
    <t xml:space="preserve"> WHY DO USERS CHURN?</t>
  </si>
  <si>
    <t>COHORT RETENTION ANALYSIS — MONTHLY BUYER BEHAVIOUR</t>
  </si>
  <si>
    <t>Cohort Month</t>
  </si>
  <si>
    <t>Cohort Size</t>
  </si>
  <si>
    <t>Month 1 %</t>
  </si>
  <si>
    <t>Month 2 %</t>
  </si>
  <si>
    <t>Month 3 %</t>
  </si>
  <si>
    <t>Trend</t>
  </si>
  <si>
    <t>▼ Weakest start</t>
  </si>
  <si>
    <t>▼ Declining</t>
  </si>
  <si>
    <t>▼ Lowest M3</t>
  </si>
  <si>
    <t>↑ M1 jump</t>
  </si>
  <si>
    <t>→ Stable</t>
  </si>
  <si>
    <t>★ Best M1+M2</t>
  </si>
  <si>
    <t>→ Average</t>
  </si>
  <si>
    <t>▼ Post-festive drop</t>
  </si>
  <si>
    <t>—</t>
  </si>
  <si>
    <t>↑ Strong M2</t>
  </si>
  <si>
    <t>⚡ Best M1 ever</t>
  </si>
  <si>
    <t>Every single cohort drops to 22–27% by month 3 without exception. This is a structural platform problem, not seasonal.</t>
  </si>
  <si>
    <t xml:space="preserve">Universal M3 collapse </t>
  </si>
  <si>
    <t>41.2% M1, 40.7% M2. Investigate what 
worked in June — was there a promotion, feature launch, or seasonal factor?</t>
  </si>
  <si>
    <t xml:space="preserve">Jun 2023 is the best cohort </t>
  </si>
  <si>
    <t>41% M1 but only 30.6% M2. Users 
bought gifts in December, had no reason to return in January.</t>
  </si>
  <si>
    <t xml:space="preserve">Dec 2023 post-festive drop </t>
  </si>
  <si>
    <t>Current average is 38–41%. The habit  nudges and winback features in the roadmap are designed to close this gap.</t>
  </si>
  <si>
    <t>45% M1 retention</t>
  </si>
  <si>
    <t>Shows 47.3% M1 — highest ever recorded. Monitor M2 
carefully to confirm if platform improvement is working.</t>
  </si>
  <si>
    <t>KEY OBSERVATIONS</t>
  </si>
  <si>
    <t>MONTHLY COHORT RETENTION HEATMAP</t>
  </si>
  <si>
    <t>Jan 2023 – Feb 2024 | 14 Monthly Cohorts | Month 1, 2, 3 Retention Rates</t>
  </si>
  <si>
    <t>Segment</t>
  </si>
  <si>
    <t>% of Base</t>
  </si>
  <si>
    <t>Avg Revenue</t>
  </si>
  <si>
    <t>Avg Orders</t>
  </si>
  <si>
    <t>Days Inactive</t>
  </si>
  <si>
    <t>Description</t>
  </si>
  <si>
    <t>Champions</t>
  </si>
  <si>
    <t>Top spenders, loyal, recent</t>
  </si>
  <si>
    <t>Loyal Customers</t>
  </si>
  <si>
    <t>Regular buyers — nurture</t>
  </si>
  <si>
    <t>At Risk</t>
  </si>
  <si>
    <t>High value — SAVE NOW</t>
  </si>
  <si>
    <t>New Customers</t>
  </si>
  <si>
    <t>Recent — guide to 2nd order</t>
  </si>
  <si>
    <t>Promising</t>
  </si>
  <si>
    <t>Occasional — nudge more</t>
  </si>
  <si>
    <t>Hibernating</t>
  </si>
  <si>
    <t>Dormant — reactivate</t>
  </si>
  <si>
    <t>Total Revenue</t>
  </si>
  <si>
    <t>Avg Rev/User</t>
  </si>
  <si>
    <t>Urgency</t>
  </si>
  <si>
    <t>Medium</t>
  </si>
  <si>
    <t>Upsell to Champions</t>
  </si>
  <si>
    <t>🚨 URGENT</t>
  </si>
  <si>
    <t>Winback campaign NOW</t>
  </si>
  <si>
    <t>Maintain</t>
  </si>
  <si>
    <t>VIP rewards programme</t>
  </si>
  <si>
    <t>High</t>
  </si>
  <si>
    <t>Re-engage campaign</t>
  </si>
  <si>
    <t>Strategy</t>
  </si>
  <si>
    <t>Feature to Build</t>
  </si>
  <si>
    <t>Success Metric</t>
  </si>
  <si>
    <t>Timeline</t>
  </si>
  <si>
    <t>🚨 Urgent</t>
  </si>
  <si>
    <t>Winback</t>
  </si>
  <si>
    <t>Personalised 20% discount — triggered at day 270 inactive</t>
  </si>
  <si>
    <t>30% reactivation rate</t>
  </si>
  <si>
    <t>Sprint 1–2</t>
  </si>
  <si>
    <t>Convert</t>
  </si>
  <si>
    <t>Free delivery voucher on 2nd order — sent at Day 5</t>
  </si>
  <si>
    <t>60% place 2nd order</t>
  </si>
  <si>
    <t>Sprint 1</t>
  </si>
  <si>
    <t>Re-engage</t>
  </si>
  <si>
    <t>"We miss you" push + curated catalogue browse</t>
  </si>
  <si>
    <t>15% reactivation</t>
  </si>
  <si>
    <t>Sprint 3–4</t>
  </si>
  <si>
    <t>Upsell</t>
  </si>
  <si>
    <t>Champion tier unlock — rewards and early access</t>
  </si>
  <si>
    <t>20% upgrade to Champion</t>
  </si>
  <si>
    <t>Sprint 5–6</t>
  </si>
  <si>
    <t>Retain</t>
  </si>
  <si>
    <t>VIP support + exclusive sale early access</t>
  </si>
  <si>
    <t>Maintain 95% retention</t>
  </si>
  <si>
    <t>Ongoing</t>
  </si>
  <si>
    <t>Low</t>
  </si>
  <si>
    <t>Nurture</t>
  </si>
  <si>
    <t>Weekly personalised catalogue by category preference</t>
  </si>
  <si>
    <t>25% order frequency increase</t>
  </si>
  <si>
    <t>Sprint 7–8</t>
  </si>
  <si>
    <t>HIGHEST ROI ACTION: Target the 950 At Risk users immediately. They have already proven they spend ₹3,020 on average — they just need a reason to come back. A targeted winback campaign costs almost nothing compared to acquiring a new user at ₹180 CAC.</t>
  </si>
  <si>
    <t>RFM SEGMENT BREAKDOWN</t>
  </si>
  <si>
    <t>REVENUE AT STAKE</t>
  </si>
  <si>
    <t>PM ACTION PLAN</t>
  </si>
  <si>
    <t>TOTAL WINBACK OPPORTUNITY" | — | ₹45,54,030 | — | — | — | "Convert 30% = ₹13.6L</t>
  </si>
  <si>
    <t xml:space="preserve"> Only 37.1% of new Meesho buyers in Tier 2 cities make a second purchase within 60 days. Every monthly cohort collapses below 28% retention by month 3 — without exception. This costs ₹48.8 lakhs in lost revenue annually. Churned users spend MORE per order than retained users (₹892 vs ₹869) — ruling out price as the root cause. The problem is habit formation failure, not experience quality. Goal: Improve Day-60 repeat purchase rate from 55% to 70% within 2 quarters.</t>
  </si>
  <si>
    <t>Name/Age:</t>
  </si>
  <si>
    <t>Location/Device:</t>
  </si>
  <si>
    <t>Behaviour:</t>
  </si>
  <si>
    <t>Pain:</t>
  </si>
  <si>
    <t>Needs:</t>
  </si>
  <si>
    <t>Priya, 26 — First-time online shopper</t>
  </si>
  <si>
    <t>Ramesh, 38 — Price-conscious father</t>
  </si>
  <si>
    <t>Surat | Android Low-end | Referred by friend</t>
  </si>
  <si>
    <t>Ordered kurta sets (₹680). Liked the price but app was slow. Got confused by return process.</t>
  </si>
  <si>
    <t>Slow app, confusing returns, no Hindi UI</t>
  </si>
  <si>
    <t>Easy returns, faster app, WhatsApp updates, Hindi language</t>
  </si>
  <si>
    <t>Kota | Android Mid-range | Paid Ad</t>
  </si>
  <si>
    <t>Ordered twice. Delivery took 9 days on 2nd order. Gave 2 stars and never returned.</t>
  </si>
  <si>
    <t>Late delivery, no proactive communication, felt cheated</t>
  </si>
  <si>
    <t>Reliable 7-day delivery, delay alerts, compensation for late orders</t>
  </si>
  <si>
    <t>Sunita, 29 — Habitual online buyer</t>
  </si>
  <si>
    <t>Nashik | Android Mid-range | Social Media</t>
  </si>
  <si>
    <t>Orders regularly, loves weekend browsing, refers friends</t>
  </si>
  <si>
    <t>Wants more rewards for loyalty, better personalisation</t>
  </si>
  <si>
    <t>Loyalty programme, personalised recommendations, early sale access</t>
  </si>
  <si>
    <t>Feature</t>
  </si>
  <si>
    <t>Reach</t>
  </si>
  <si>
    <t>Impact</t>
  </si>
  <si>
    <t>Confidence</t>
  </si>
  <si>
    <t>Effort</t>
  </si>
  <si>
    <t>RICE Score</t>
  </si>
  <si>
    <t>Free delivery on 2nd order</t>
  </si>
  <si>
    <t>Shift Paid Ad budget to organic</t>
  </si>
  <si>
    <t>Personalised Day-5 reorder nudge</t>
  </si>
  <si>
    <t>Instant bad experience recovery</t>
  </si>
  <si>
    <t>At Risk winback campaign</t>
  </si>
  <si>
    <t>WhatsApp order status updates</t>
  </si>
  <si>
    <t>7-day delivery SLA enforcement</t>
  </si>
  <si>
    <t>Hindi / regional language UI</t>
  </si>
  <si>
    <t>Low-end Android optimisation</t>
  </si>
  <si>
    <t>Gamified order streak rewards</t>
  </si>
  <si>
    <t>Sprint</t>
  </si>
  <si>
    <t>Dates</t>
  </si>
  <si>
    <t>Theme</t>
  </si>
  <si>
    <t>Key Features</t>
  </si>
  <si>
    <t>Wk 1–4</t>
  </si>
  <si>
    <t>Quick wins</t>
  </si>
  <si>
    <t>Free delivery voucher · Budget shift Paid→Organic</t>
  </si>
  <si>
    <t>Day-14 retention +5pp</t>
  </si>
  <si>
    <t>🔵 Planned</t>
  </si>
  <si>
    <t>Wk 5–8</t>
  </si>
  <si>
    <t>Habit formation</t>
  </si>
  <si>
    <t>Personalised reorder nudge · Bad experience recovery</t>
  </si>
  <si>
    <t>Day-30 retention +8pp</t>
  </si>
  <si>
    <t>Wk 9–12</t>
  </si>
  <si>
    <t>Trust building</t>
  </si>
  <si>
    <t>7-day SLA alerts · WhatsApp order updates</t>
  </si>
  <si>
    <t>Avg rating ↑ to 4.2★</t>
  </si>
  <si>
    <t>Wk 13–16</t>
  </si>
  <si>
    <t>Accessibility</t>
  </si>
  <si>
    <t>Hindi UI · Low-end Android performance fix</t>
  </si>
  <si>
    <t>Low-end churn -5pp</t>
  </si>
  <si>
    <t>Sprint 9–10</t>
  </si>
  <si>
    <t>Wk 17–20</t>
  </si>
  <si>
    <t>Loyalty &amp; growth</t>
  </si>
  <si>
    <t>Winback campaign · Gamified streaks · VIP tier</t>
  </si>
  <si>
    <t>At Risk segment -30%</t>
  </si>
  <si>
    <t>Sprint 11–12</t>
  </si>
  <si>
    <t>Wk 21–24</t>
  </si>
  <si>
    <t>Measure &amp; scale</t>
  </si>
  <si>
    <t>A/B test review · Roll out winners city by city</t>
  </si>
  <si>
    <t>Day-60 retention 70%</t>
  </si>
  <si>
    <t>PROBLEM STATEMENT</t>
  </si>
  <si>
    <t>RICE PRIORITISATION</t>
  </si>
  <si>
    <t>PRODUCT ROADMAP</t>
  </si>
  <si>
    <t>RICE Formula: (Reach × Impact × Confidence) / Effort. Reach and Impact scored 1–10. Confidence as %. Effort in weeks. Higher score = ship first.</t>
  </si>
  <si>
    <t>Persona 1</t>
  </si>
  <si>
    <t>Persona 2</t>
  </si>
  <si>
    <t>Persona 3</t>
  </si>
  <si>
    <t>USER PERSONAS</t>
  </si>
  <si>
    <t>PM CASE STUDY — MEESHO TIER 2 BUYER RETENTION</t>
  </si>
  <si>
    <t>Problem Statement · User Personas · RICE Prioritisation · Product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</si>
</sst>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0.0%"/>
  </numFmts>
  <fonts count="2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C0392B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2C2C2A"/>
      <name val="Arial"/>
      <family val="2"/>
    </font>
    <font>
      <b/>
      <sz val="16"/>
      <color rgb="FFFFC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0"/>
      <color theme="1"/>
      <name val="Arial Unicode MS"/>
    </font>
    <font>
      <b/>
      <sz val="11"/>
      <color rgb="FFFFC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C2C2A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FDEBD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3F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4" fillId="9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/>
    <xf numFmtId="0" fontId="0" fillId="13" borderId="0" xfId="0" applyFill="1"/>
    <xf numFmtId="0" fontId="0" fillId="14" borderId="0" xfId="0" applyFill="1"/>
    <xf numFmtId="6" fontId="0" fillId="0" borderId="0" xfId="0" applyNumberFormat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6" fontId="0" fillId="8" borderId="0" xfId="0" applyNumberFormat="1" applyFill="1" applyAlignment="1">
      <alignment horizontal="center" vertical="center" wrapText="1"/>
    </xf>
    <xf numFmtId="0" fontId="2" fillId="11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10" fontId="0" fillId="9" borderId="1" xfId="0" applyNumberForma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10" fontId="0" fillId="10" borderId="1" xfId="0" applyNumberFormat="1" applyFill="1" applyBorder="1" applyAlignment="1">
      <alignment vertical="center" wrapText="1"/>
    </xf>
    <xf numFmtId="0" fontId="5" fillId="1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164" fontId="6" fillId="1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/>
    </xf>
    <xf numFmtId="0" fontId="6" fillId="16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0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10" fontId="0" fillId="10" borderId="10" xfId="0" applyNumberFormat="1" applyFill="1" applyBorder="1" applyAlignment="1">
      <alignment horizontal="center" vertical="center" wrapText="1"/>
    </xf>
    <xf numFmtId="6" fontId="0" fillId="10" borderId="10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9" borderId="1" xfId="0" applyFill="1" applyBorder="1" applyAlignment="1">
      <alignment horizontal="center" vertical="center" wrapText="1"/>
    </xf>
    <xf numFmtId="9" fontId="11" fillId="9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9" fontId="11" fillId="9" borderId="10" xfId="0" applyNumberFormat="1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10" fontId="0" fillId="9" borderId="1" xfId="0" applyNumberForma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10" fontId="0" fillId="9" borderId="10" xfId="0" applyNumberForma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17" fontId="0" fillId="9" borderId="7" xfId="0" applyNumberFormat="1" applyFill="1" applyBorder="1" applyAlignment="1">
      <alignment horizontal="center" vertical="center" wrapText="1"/>
    </xf>
    <xf numFmtId="17" fontId="0" fillId="0" borderId="7" xfId="0" applyNumberFormat="1" applyBorder="1" applyAlignment="1">
      <alignment horizontal="center" vertical="center" wrapText="1"/>
    </xf>
    <xf numFmtId="17" fontId="0" fillId="10" borderId="7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0" fontId="0" fillId="10" borderId="1" xfId="0" applyNumberForma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17" fontId="0" fillId="10" borderId="9" xfId="0" applyNumberFormat="1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9" borderId="7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18" borderId="1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0" borderId="7" xfId="0" applyFill="1" applyBorder="1" applyAlignment="1">
      <alignment vertical="center" wrapText="1"/>
    </xf>
    <xf numFmtId="0" fontId="0" fillId="18" borderId="7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6" fontId="0" fillId="9" borderId="1" xfId="0" applyNumberForma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0" fontId="0" fillId="10" borderId="1" xfId="0" applyNumberFormat="1" applyFill="1" applyBorder="1" applyAlignment="1">
      <alignment horizontal="center" vertical="center"/>
    </xf>
    <xf numFmtId="6" fontId="0" fillId="10" borderId="1" xfId="0" applyNumberFormat="1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3" fontId="0" fillId="18" borderId="1" xfId="0" applyNumberFormat="1" applyFill="1" applyBorder="1" applyAlignment="1">
      <alignment horizontal="center" vertical="center"/>
    </xf>
    <xf numFmtId="10" fontId="0" fillId="18" borderId="1" xfId="0" applyNumberFormat="1" applyFill="1" applyBorder="1" applyAlignment="1">
      <alignment horizontal="center" vertical="center"/>
    </xf>
    <xf numFmtId="6" fontId="0" fillId="18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0" fontId="0" fillId="9" borderId="1" xfId="0" applyNumberFormat="1" applyFill="1" applyBorder="1" applyAlignment="1">
      <alignment horizontal="center" vertical="center"/>
    </xf>
    <xf numFmtId="6" fontId="0" fillId="9" borderId="1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20" borderId="7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0" fontId="0" fillId="20" borderId="1" xfId="0" applyNumberFormat="1" applyFill="1" applyBorder="1" applyAlignment="1">
      <alignment horizontal="center" vertical="center"/>
    </xf>
    <xf numFmtId="6" fontId="0" fillId="20" borderId="1" xfId="0" applyNumberFormat="1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1" borderId="7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10" fontId="0" fillId="21" borderId="1" xfId="0" applyNumberFormat="1" applyFill="1" applyBorder="1" applyAlignment="1">
      <alignment horizontal="center" vertical="center"/>
    </xf>
    <xf numFmtId="6" fontId="0" fillId="21" borderId="1" xfId="0" applyNumberFormat="1" applyFill="1" applyBorder="1" applyAlignment="1">
      <alignment horizontal="center" vertical="center"/>
    </xf>
    <xf numFmtId="0" fontId="0" fillId="21" borderId="8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3" fontId="0" fillId="19" borderId="10" xfId="0" applyNumberFormat="1" applyFill="1" applyBorder="1" applyAlignment="1">
      <alignment horizontal="center" vertical="center"/>
    </xf>
    <xf numFmtId="10" fontId="0" fillId="19" borderId="10" xfId="0" applyNumberFormat="1" applyFill="1" applyBorder="1" applyAlignment="1">
      <alignment horizontal="center" vertical="center"/>
    </xf>
    <xf numFmtId="6" fontId="0" fillId="19" borderId="10" xfId="0" applyNumberFormat="1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6" fontId="0" fillId="0" borderId="10" xfId="0" applyNumberFormat="1" applyBorder="1" applyAlignment="1">
      <alignment horizontal="center" vertical="center" wrapText="1"/>
    </xf>
    <xf numFmtId="0" fontId="3" fillId="2" borderId="0" xfId="0" applyFont="1" applyFill="1"/>
    <xf numFmtId="0" fontId="0" fillId="0" borderId="0" xfId="0" applyAlignment="1">
      <alignment horizontal="left" vertical="center"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6" fillId="10" borderId="11" xfId="0" applyFont="1" applyFill="1" applyBorder="1" applyAlignment="1">
      <alignment horizontal="center" vertical="center" wrapText="1"/>
    </xf>
    <xf numFmtId="0" fontId="0" fillId="20" borderId="0" xfId="0" applyFill="1" applyAlignment="1">
      <alignment vertical="center" wrapText="1"/>
    </xf>
    <xf numFmtId="0" fontId="0" fillId="20" borderId="0" xfId="0" applyFill="1" applyAlignment="1">
      <alignment horizontal="left" vertical="center" wrapText="1"/>
    </xf>
    <xf numFmtId="0" fontId="0" fillId="21" borderId="0" xfId="0" applyFill="1" applyAlignment="1">
      <alignment vertical="center" wrapText="1"/>
    </xf>
    <xf numFmtId="0" fontId="0" fillId="22" borderId="0" xfId="0" applyFill="1" applyAlignment="1">
      <alignment vertical="center" wrapText="1"/>
    </xf>
    <xf numFmtId="0" fontId="18" fillId="20" borderId="0" xfId="0" applyFont="1" applyFill="1" applyAlignment="1">
      <alignment horizontal="center"/>
    </xf>
    <xf numFmtId="0" fontId="19" fillId="21" borderId="0" xfId="0" applyFont="1" applyFill="1" applyAlignment="1">
      <alignment horizontal="center" vertical="center" wrapText="1"/>
    </xf>
    <xf numFmtId="0" fontId="20" fillId="22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vertical="center" wrapText="1"/>
    </xf>
    <xf numFmtId="0" fontId="1" fillId="21" borderId="0" xfId="0" applyFont="1" applyFill="1" applyAlignment="1">
      <alignment vertical="center" wrapText="1"/>
    </xf>
    <xf numFmtId="0" fontId="1" fillId="22" borderId="0" xfId="0" applyFont="1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7" fillId="17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18" borderId="0" xfId="0" applyFill="1" applyAlignment="1">
      <alignment horizontal="center" vertical="center" wrapText="1"/>
    </xf>
    <xf numFmtId="0" fontId="10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10" fontId="9" fillId="11" borderId="0" xfId="0" applyNumberFormat="1" applyFont="1" applyFill="1" applyAlignment="1">
      <alignment horizontal="center" vertical="center"/>
    </xf>
    <xf numFmtId="0" fontId="10" fillId="11" borderId="0" xfId="0" applyFont="1" applyFill="1" applyAlignment="1">
      <alignment horizontal="center"/>
    </xf>
    <xf numFmtId="10" fontId="9" fillId="14" borderId="0" xfId="0" applyNumberFormat="1" applyFont="1" applyFill="1" applyAlignment="1">
      <alignment horizontal="center" vertical="center"/>
    </xf>
    <xf numFmtId="0" fontId="10" fillId="14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10" fontId="9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2" fillId="13" borderId="0" xfId="0" applyFont="1" applyFill="1" applyAlignment="1">
      <alignment horizontal="center"/>
    </xf>
    <xf numFmtId="10" fontId="9" fillId="13" borderId="0" xfId="0" applyNumberFormat="1" applyFont="1" applyFill="1" applyAlignment="1">
      <alignment horizontal="center" vertical="center"/>
    </xf>
    <xf numFmtId="0" fontId="10" fillId="13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3" fillId="9" borderId="0" xfId="0" applyFont="1" applyFill="1" applyAlignment="1">
      <alignment vertical="center" wrapText="1"/>
    </xf>
    <xf numFmtId="0" fontId="12" fillId="10" borderId="0" xfId="0" applyFont="1" applyFill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4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17" borderId="1" xfId="0" applyFont="1" applyFill="1" applyBorder="1" applyAlignment="1">
      <alignment horizontal="left" vertical="center"/>
    </xf>
    <xf numFmtId="17" fontId="1" fillId="17" borderId="1" xfId="0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top"/>
    </xf>
    <xf numFmtId="0" fontId="3" fillId="2" borderId="12" xfId="0" applyFont="1" applyFill="1" applyBorder="1" applyAlignment="1">
      <alignment horizontal="center" vertical="center"/>
    </xf>
    <xf numFmtId="0" fontId="15" fillId="8" borderId="0" xfId="0" applyFont="1" applyFill="1" applyAlignment="1">
      <alignment vertical="top" wrapText="1"/>
    </xf>
  </cellXfs>
  <cellStyles count="1">
    <cellStyle name="Normal" xfId="0" builtinId="0"/>
  </cellStyles>
  <dxfs count="125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0" formatCode="&quot;₹&quot;\ #,##0;[Red]&quot;₹&quot;\ \-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0" formatCode="&quot;₹&quot;\ #,##0;[Red]&quot;₹&quot;\ \-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0" formatCode="&quot;₹&quot;\ #,##0;[Red]&quot;₹&quot;\ \-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/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C00000"/>
        <name val="Aptos Narrow"/>
        <family val="2"/>
        <scheme val="minor"/>
      </font>
      <numFmt numFmtId="13" formatCode="0%"/>
      <fill>
        <patternFill patternType="solid">
          <fgColor indexed="64"/>
          <bgColor rgb="FFFADBD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0" formatCode="&quot;₹&quot;\ #,##0;[Red]&quot;₹&quot;\ \-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DEBD0"/>
      <color rgb="FFD5F5E3"/>
      <color rgb="FFFADBD8"/>
      <color rgb="FFC0392B"/>
      <color rgb="FFE5EE6E"/>
      <color rgb="FFFF747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FBBF3A-58E6-4387-B3BB-A61BD825A6E9}" name="Table4" displayName="Table4" ref="G6:K13" totalsRowShown="0" headerRowDxfId="104" dataDxfId="103">
  <autoFilter ref="G6:K13" xr:uid="{ECFBBF3A-58E6-4387-B3BB-A61BD825A6E9}"/>
  <tableColumns count="5">
    <tableColumn id="1" xr3:uid="{CB81795F-D566-4461-9035-59B1A8697023}" name="Metric" dataDxfId="102"/>
    <tableColumn id="2" xr3:uid="{97D89714-8982-45F5-B206-C62697BB62BB}" name="Retained" dataDxfId="101"/>
    <tableColumn id="3" xr3:uid="{45F0F5C7-D486-415F-BB75-2F8DD6C07B19}" name="Churned" dataDxfId="100"/>
    <tableColumn id="4" xr3:uid="{0BCAD4FA-6F67-49CE-A332-EBD5A5AEB6BF}" name="Gap" dataDxfId="99"/>
    <tableColumn id="5" xr3:uid="{37EBB4A9-DC9D-4EEB-B827-10E91F30AD6D}" name="Insight" dataDxfId="9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9E78CF-B155-4CF1-83A4-633D59CD7FB7}" name="Table5" displayName="Table5" ref="G17:K25" totalsRowShown="0" headerRowDxfId="97" dataDxfId="96">
  <autoFilter ref="G17:K25" xr:uid="{689E78CF-B155-4CF1-83A4-633D59CD7FB7}"/>
  <tableColumns count="5">
    <tableColumn id="1" xr3:uid="{328EDB62-D699-4780-8D12-2EB1168D16AB}" name="Churn Reason" dataDxfId="95"/>
    <tableColumn id="2" xr3:uid="{662BEA15-2833-4572-B397-36FA6C320F17}" name="Users" dataDxfId="94"/>
    <tableColumn id="3" xr3:uid="{7E043740-F200-468B-B8CC-3606F763A58E}" name="%" dataDxfId="93"/>
    <tableColumn id="4" xr3:uid="{2F4D9C59-6E50-47EF-9659-51CE6F2878F2}" name="Priority" dataDxfId="92"/>
    <tableColumn id="5" xr3:uid="{94575784-81FC-469E-B72D-786D0512D020}" name="PM Recommendation" dataDxfId="9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E9B958-C427-4C6E-9CA2-80459BFE5C02}" name="Table7" displayName="Table7" ref="G29:H35" totalsRowShown="0" headerRowDxfId="90" dataDxfId="89">
  <autoFilter ref="G29:H35" xr:uid="{75E9B958-C427-4C6E-9CA2-80459BFE5C02}"/>
  <tableColumns count="2">
    <tableColumn id="1" xr3:uid="{4C1C7A72-2555-430B-BE86-989764970049}" name="Finding" dataDxfId="88"/>
    <tableColumn id="2" xr3:uid="{C799388D-A765-4D76-B2F4-4E9B2ECA6E13}" name="Explanation" dataDxfId="87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01A413-B7B9-45C0-AEAF-48A001BC9390}" name="Table2" displayName="Table2" ref="B6:G13" totalsRowShown="0" headerRowDxfId="86" dataDxfId="84" headerRowBorderDxfId="85" tableBorderDxfId="83" totalsRowBorderDxfId="82">
  <autoFilter ref="B6:G13" xr:uid="{AD01A413-B7B9-45C0-AEAF-48A001BC9390}"/>
  <tableColumns count="6">
    <tableColumn id="1" xr3:uid="{B9CBBF67-53C3-4A46-8D94-2847DDD471A2}" name="Delivery Days" dataDxfId="81"/>
    <tableColumn id="2" xr3:uid="{D1DFBE3B-1447-49A6-81F2-F2334F60440B}" name="Users" dataDxfId="80"/>
    <tableColumn id="3" xr3:uid="{7E03102A-A093-4979-AF15-6F42FC9D6E6F}" name="Churn Rate" dataDxfId="79"/>
    <tableColumn id="4" xr3:uid="{82BF0C99-686B-43A1-8919-A650F4D0A631}" name="Avg Rating" dataDxfId="78"/>
    <tableColumn id="5" xr3:uid="{9F08F5CB-D3C7-4F34-B224-DEFDFF3E43BA}" name="Return Rate" dataDxfId="77"/>
    <tableColumn id="6" xr3:uid="{D6A4589D-D585-4EC2-BC03-742EF0FB36F0}" name="Signal" dataDxfId="76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D8DF6B-17A1-4F2C-871B-97BD2ACA6BB6}" name="Table3" displayName="Table3" ref="B16:G20" totalsRowShown="0" headerRowDxfId="75" dataDxfId="73" headerRowBorderDxfId="74" tableBorderDxfId="72" totalsRowBorderDxfId="71">
  <autoFilter ref="B16:G20" xr:uid="{C5D8DF6B-17A1-4F2C-871B-97BD2ACA6BB6}"/>
  <tableColumns count="6">
    <tableColumn id="1" xr3:uid="{74D70A28-3D7B-4245-8117-33F4B7B6067B}" name="Fee Bucket" dataDxfId="70"/>
    <tableColumn id="2" xr3:uid="{E129AF95-0FFB-4195-8411-1AC53EC541F9}" name="Users" dataDxfId="69"/>
    <tableColumn id="3" xr3:uid="{9DF322B5-3183-4E91-8B65-280F9A6FEB33}" name="Churn Rate" dataDxfId="68"/>
    <tableColumn id="4" xr3:uid="{EC111744-5B64-4F1A-AA40-0729E618DB60}" name="Avg Order Value" dataDxfId="67"/>
    <tableColumn id="5" xr3:uid="{DFC5B140-4493-4716-A6B5-E9D0740674DB}" name="Finding" dataDxfId="66"/>
    <tableColumn id="6" xr3:uid="{86BC00C4-F2FD-4763-AA48-4628E4DC7498}" name="Action" dataDxfId="65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51AFF2-4E6D-4DF8-90A1-AD2158F4FA59}" name="Table6" displayName="Table6" ref="B26:E31" totalsRowShown="0" headerRowDxfId="64" dataDxfId="62" headerRowBorderDxfId="63" tableBorderDxfId="61" totalsRowBorderDxfId="60">
  <autoFilter ref="B26:E31" xr:uid="{0451AFF2-4E6D-4DF8-90A1-AD2158F4FA59}"/>
  <tableColumns count="4">
    <tableColumn id="1" xr3:uid="{07899C72-30B7-4E2A-ACF4-0B50C0164BD3}" name="Rating" dataDxfId="59"/>
    <tableColumn id="2" xr3:uid="{EFD0E51A-96D8-44B0-A527-B63DDA947AAE}" name="Users" dataDxfId="58"/>
    <tableColumn id="3" xr3:uid="{6D2CABBB-4556-4842-943D-12E4BC6AE525}" name="Churn Rate" dataDxfId="57"/>
    <tableColumn id="4" xr3:uid="{1566D6F2-DE68-4F8B-B188-92135B759BD8}" name="Finding" dataDxfId="56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02A968-5067-4174-B683-9ECE6BBEC837}" name="Table8" displayName="Table8" ref="B38:F42" totalsRowShown="0" headerRowDxfId="55" dataDxfId="53" headerRowBorderDxfId="54" tableBorderDxfId="52" totalsRowBorderDxfId="51">
  <autoFilter ref="B38:F42" xr:uid="{2902A968-5067-4174-B683-9ECE6BBEC837}"/>
  <tableColumns count="5">
    <tableColumn id="1" xr3:uid="{6E3798E7-2F1E-466C-BCF0-DEE4724FADB8}" name="Metric" dataDxfId="50"/>
    <tableColumn id="2" xr3:uid="{31D61C24-30BA-4C09-8EC2-A9A8A4640052}" name="Retained" dataDxfId="49"/>
    <tableColumn id="3" xr3:uid="{532E349B-ABF9-4BE1-8860-28A0E3420600}" name="Churned" dataDxfId="48"/>
    <tableColumn id="4" xr3:uid="{41D016CA-33A9-4567-81D4-CC82236534F3}" name="Gap" dataDxfId="47"/>
    <tableColumn id="5" xr3:uid="{13949600-751F-4592-99F8-7D80D9B71354}" name="What it means" dataDxfId="46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DDB35-2E13-49EF-A3D5-B7B590D5FAF9}" name="Table1" displayName="Table1" ref="B6:G20" totalsRowShown="0" headerRowDxfId="45" dataDxfId="43" headerRowBorderDxfId="44" tableBorderDxfId="42" totalsRowBorderDxfId="41">
  <autoFilter ref="B6:G20" xr:uid="{71ADDB35-2E13-49EF-A3D5-B7B590D5FAF9}"/>
  <tableColumns count="6">
    <tableColumn id="1" xr3:uid="{1355C15C-D24E-449F-8E04-D516FF8D3B45}" name="Cohort Month" dataDxfId="40"/>
    <tableColumn id="2" xr3:uid="{E9C38FE3-8787-499C-9C88-E7C0558F7B98}" name="Cohort Size" dataDxfId="39"/>
    <tableColumn id="3" xr3:uid="{878D4BCF-A1D1-44F5-8DB0-2D90E8A3D1A5}" name="Month 1 %" dataDxfId="38"/>
    <tableColumn id="4" xr3:uid="{D7457AEB-F66D-420F-B1E6-330FCE0B2119}" name="Month 2 %" dataDxfId="37"/>
    <tableColumn id="5" xr3:uid="{2CE4DCEB-4836-43B1-897A-6F8F919CFE05}" name="Month 3 %" dataDxfId="36"/>
    <tableColumn id="6" xr3:uid="{35D00DFA-205F-4AB9-91CA-F1FD029B9D73}" name="Trend" dataDxfId="35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E13351-900C-4DB8-A0D2-D648D1050AC9}" name="Table9" displayName="Table9" ref="B7:H13" totalsRowShown="0" headerRowDxfId="34" dataDxfId="32" headerRowBorderDxfId="33" tableBorderDxfId="31" totalsRowBorderDxfId="30">
  <autoFilter ref="B7:H13" xr:uid="{66E13351-900C-4DB8-A0D2-D648D1050AC9}"/>
  <tableColumns count="7">
    <tableColumn id="1" xr3:uid="{BF8CCE4D-ADAD-4E91-BFFC-E3141AEF1968}" name="Segment" dataDxfId="29"/>
    <tableColumn id="2" xr3:uid="{D674A90A-949D-473B-AB14-78AAAA44A094}" name="Users" dataDxfId="28"/>
    <tableColumn id="3" xr3:uid="{81858B74-5706-4DF4-B6C5-4472C61F141A}" name="% of Base" dataDxfId="27"/>
    <tableColumn id="4" xr3:uid="{D155AB2A-4BEE-446B-89DB-FAF767FEF5E6}" name="Avg Revenue" dataDxfId="26"/>
    <tableColumn id="5" xr3:uid="{C401A0D1-9D27-4544-BB98-D2B415041DEB}" name="Avg Orders" dataDxfId="25"/>
    <tableColumn id="6" xr3:uid="{9CEEDE95-9137-452A-A06D-C52983C69CA3}" name="Days Inactive" dataDxfId="24"/>
    <tableColumn id="7" xr3:uid="{C644FA76-8282-4583-9FCE-1218DBB9A77B}" name="Description" dataDxfId="23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253982-3AFB-4740-BBB0-3F6C785D4859}" name="Table10" displayName="Table10" ref="B17:H21" totalsRowShown="0" headerRowDxfId="22" dataDxfId="20" headerRowBorderDxfId="21" tableBorderDxfId="19" totalsRowBorderDxfId="18">
  <autoFilter ref="B17:H21" xr:uid="{52253982-3AFB-4740-BBB0-3F6C785D4859}"/>
  <tableColumns count="7">
    <tableColumn id="1" xr3:uid="{25CEDE04-5EB9-48CE-9C70-DDE06EC3E9BF}" name="Segment" dataDxfId="17"/>
    <tableColumn id="2" xr3:uid="{9BED2401-C196-4591-9F4A-6F4505EECDC1}" name="Users" dataDxfId="16"/>
    <tableColumn id="3" xr3:uid="{6395CFE7-F89B-459C-A835-F29F5A060450}" name="Total Revenue" dataDxfId="15"/>
    <tableColumn id="4" xr3:uid="{E682FA46-E208-4A59-8377-0674D4974B85}" name="Avg Rev/User" dataDxfId="14"/>
    <tableColumn id="5" xr3:uid="{F835A4FD-6327-4897-AC73-63634164DDA0}" name="Days Inactive" dataDxfId="13"/>
    <tableColumn id="6" xr3:uid="{7D8DDF00-F36F-4FF4-A292-C977BA305509}" name="Urgency" dataDxfId="12"/>
    <tableColumn id="7" xr3:uid="{022D7CDE-8606-4AFA-82CB-01A6069385AD}" name="Action" dataDxfId="11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C76A0A1-1029-4DF2-BB19-ADB551AC505C}" name="Table11" displayName="Table11" ref="B25:G31" totalsRowShown="0" headerRowDxfId="10" dataDxfId="8" headerRowBorderDxfId="9" tableBorderDxfId="7" totalsRowBorderDxfId="6">
  <autoFilter ref="B25:G31" xr:uid="{6C76A0A1-1029-4DF2-BB19-ADB551AC505C}"/>
  <tableColumns count="6">
    <tableColumn id="1" xr3:uid="{BF471DFB-1A05-4734-91B1-652C0E7CBFBA}" name="Segment" dataDxfId="5"/>
    <tableColumn id="2" xr3:uid="{2F7AEA10-5BFD-4658-B424-06CB65750591}" name="Urgency" dataDxfId="4"/>
    <tableColumn id="3" xr3:uid="{C8D36A0F-0F75-41E4-BB86-FCEAB593AEAF}" name="Strategy" dataDxfId="3"/>
    <tableColumn id="4" xr3:uid="{A1F7A109-DB25-40BA-9DA4-E6C02F8769BA}" name="Feature to Build" dataDxfId="2"/>
    <tableColumn id="5" xr3:uid="{D71019DE-95FD-41BC-8DE1-86B0EF56B227}" name="Success Metric" dataDxfId="1"/>
    <tableColumn id="6" xr3:uid="{3A4B60BD-8B5E-4C4E-88C1-2083C9D33652}" name="Timeline" dataDxfId="0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81CBC1-6F4A-48A7-B7DF-8FA529C97930}" name="Table12" displayName="Table12" ref="B22:H32" totalsRowShown="0" headerRowDxfId="124" dataDxfId="122" headerRowBorderDxfId="123" tableBorderDxfId="121" totalsRowBorderDxfId="120">
  <autoFilter ref="B22:H32" xr:uid="{B881CBC1-6F4A-48A7-B7DF-8FA529C97930}"/>
  <tableColumns count="7">
    <tableColumn id="1" xr3:uid="{EA4BB13C-3CA9-4B73-AAB8-DD46CF357847}" name="Feature" dataDxfId="119"/>
    <tableColumn id="2" xr3:uid="{FDF39C4A-E827-487F-8E71-6C9722084600}" name="Reach" dataDxfId="118"/>
    <tableColumn id="3" xr3:uid="{6489DA3E-7336-4535-8A13-A483A7503B5C}" name="Impact" dataDxfId="117"/>
    <tableColumn id="4" xr3:uid="{61FE0BC4-2359-433D-8976-A5E13AFC1CE2}" name="Confidence" dataDxfId="116"/>
    <tableColumn id="5" xr3:uid="{2595B4D2-472F-4648-818A-00A1757DCEF2}" name="Effort" dataDxfId="115"/>
    <tableColumn id="6" xr3:uid="{B31E1F82-5AD0-453C-97BF-82DFB6D6FFB8}" name="RICE Score" dataDxfId="114"/>
    <tableColumn id="7" xr3:uid="{DB784911-D08B-4C02-B806-1DAC2F9614C7}" name="Priority" dataDxfId="113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6EE48EA-266B-4B03-8B3A-7702E314F4B0}" name="Table13" displayName="Table13" ref="B37:G43" totalsRowShown="0" headerRowDxfId="112" dataDxfId="111">
  <autoFilter ref="B37:G43" xr:uid="{F6EE48EA-266B-4B03-8B3A-7702E314F4B0}"/>
  <tableColumns count="6">
    <tableColumn id="1" xr3:uid="{F63B1091-A7F5-46BF-99FC-186043471707}" name="Sprint" dataDxfId="110"/>
    <tableColumn id="2" xr3:uid="{E3474BFB-9489-49FB-8FC1-2DB66E93606B}" name="Dates" dataDxfId="109"/>
    <tableColumn id="3" xr3:uid="{CD84A319-BDF6-406A-B851-85D5D92300D3}" name="Theme" dataDxfId="108"/>
    <tableColumn id="4" xr3:uid="{5DB3CBA6-9F2B-48AD-B5C1-06CF636A1394}" name="Key Features" dataDxfId="107"/>
    <tableColumn id="5" xr3:uid="{B155B4BA-7DBE-4941-81AE-384068614490}" name="Success Metric" dataDxfId="106"/>
    <tableColumn id="6" xr3:uid="{55B2E779-D4B3-43C9-8113-D3629624FB8B}" name="Status" dataDxfId="10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AC1F-14BD-4F69-B486-7860081B8542}">
  <sheetPr>
    <tabColor theme="7" tint="0.39997558519241921"/>
  </sheetPr>
  <dimension ref="A1:L35"/>
  <sheetViews>
    <sheetView showGridLines="0" zoomScale="65" zoomScaleNormal="76" workbookViewId="0">
      <selection activeCell="K31" sqref="K31"/>
    </sheetView>
  </sheetViews>
  <sheetFormatPr defaultRowHeight="14.5"/>
  <cols>
    <col min="7" max="7" width="39.26953125" customWidth="1"/>
    <col min="8" max="8" width="57.08984375" customWidth="1"/>
    <col min="9" max="9" width="20.90625" customWidth="1"/>
    <col min="10" max="10" width="9.81640625" customWidth="1"/>
    <col min="11" max="11" width="32.36328125" customWidth="1"/>
  </cols>
  <sheetData>
    <row r="1" spans="1:12" ht="2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spans="1:12">
      <c r="A2" s="153" t="s">
        <v>1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</row>
    <row r="5" spans="1:12">
      <c r="G5" s="150" t="s">
        <v>72</v>
      </c>
      <c r="H5" s="150"/>
      <c r="I5" s="150"/>
      <c r="J5" s="150"/>
      <c r="K5" s="150"/>
    </row>
    <row r="6" spans="1:12">
      <c r="B6" s="156" t="s">
        <v>2</v>
      </c>
      <c r="C6" s="156"/>
      <c r="D6" s="156"/>
      <c r="E6" s="156"/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</row>
    <row r="7" spans="1:12">
      <c r="B7" s="156"/>
      <c r="C7" s="156"/>
      <c r="D7" s="156"/>
      <c r="E7" s="156"/>
      <c r="G7" s="4" t="s">
        <v>11</v>
      </c>
      <c r="H7" s="4">
        <v>3.7</v>
      </c>
      <c r="I7" s="4">
        <v>1.4</v>
      </c>
      <c r="J7" s="4" t="s">
        <v>12</v>
      </c>
      <c r="K7" s="4" t="s">
        <v>13</v>
      </c>
    </row>
    <row r="8" spans="1:12" ht="14.5" customHeight="1">
      <c r="B8" s="163">
        <v>0.499</v>
      </c>
      <c r="C8" s="163"/>
      <c r="D8" s="163"/>
      <c r="E8" s="163"/>
      <c r="G8" s="4" t="s">
        <v>14</v>
      </c>
      <c r="H8" s="18">
        <v>3244</v>
      </c>
      <c r="I8" s="18">
        <v>1286</v>
      </c>
      <c r="J8" s="18">
        <v>-1958</v>
      </c>
      <c r="K8" s="4" t="s">
        <v>15</v>
      </c>
    </row>
    <row r="9" spans="1:12" ht="14.5" customHeight="1">
      <c r="B9" s="163"/>
      <c r="C9" s="163"/>
      <c r="D9" s="163"/>
      <c r="E9" s="163"/>
      <c r="G9" s="19" t="s">
        <v>16</v>
      </c>
      <c r="H9" s="20">
        <v>869</v>
      </c>
      <c r="I9" s="20">
        <v>892</v>
      </c>
      <c r="J9" s="20">
        <v>23</v>
      </c>
      <c r="K9" s="19" t="s">
        <v>17</v>
      </c>
    </row>
    <row r="10" spans="1:12">
      <c r="B10" s="155" t="s">
        <v>70</v>
      </c>
      <c r="C10" s="156"/>
      <c r="D10" s="156"/>
      <c r="E10" s="156"/>
      <c r="G10" s="4" t="s">
        <v>18</v>
      </c>
      <c r="H10" s="4" t="s">
        <v>19</v>
      </c>
      <c r="I10" s="4" t="s">
        <v>20</v>
      </c>
      <c r="J10" s="4" t="s">
        <v>21</v>
      </c>
      <c r="K10" s="4" t="s">
        <v>22</v>
      </c>
    </row>
    <row r="11" spans="1:12">
      <c r="B11" s="164"/>
      <c r="C11" s="164"/>
      <c r="D11" s="164"/>
      <c r="E11" s="164"/>
      <c r="G11" s="4" t="s">
        <v>23</v>
      </c>
      <c r="H11" s="4">
        <v>15</v>
      </c>
      <c r="I11" s="4">
        <v>5</v>
      </c>
      <c r="J11" s="4" t="s">
        <v>24</v>
      </c>
      <c r="K11" s="4" t="s">
        <v>25</v>
      </c>
    </row>
    <row r="12" spans="1:12">
      <c r="G12" s="4" t="s">
        <v>26</v>
      </c>
      <c r="H12" s="11">
        <v>0.44900000000000001</v>
      </c>
      <c r="I12" s="11">
        <v>0.20100000000000001</v>
      </c>
      <c r="J12" s="4" t="s">
        <v>27</v>
      </c>
      <c r="K12" s="4" t="s">
        <v>28</v>
      </c>
    </row>
    <row r="13" spans="1:12">
      <c r="G13" s="4" t="s">
        <v>29</v>
      </c>
      <c r="H13" s="11">
        <v>0.245</v>
      </c>
      <c r="I13" s="11">
        <v>4.8000000000000001E-2</v>
      </c>
      <c r="J13" s="4" t="s">
        <v>30</v>
      </c>
      <c r="K13" s="4" t="s">
        <v>31</v>
      </c>
    </row>
    <row r="14" spans="1:12">
      <c r="B14" s="15"/>
      <c r="C14" s="15"/>
      <c r="D14" s="15"/>
      <c r="E14" s="15"/>
      <c r="G14" s="3"/>
      <c r="H14" s="5"/>
      <c r="I14" s="5"/>
      <c r="J14" s="3"/>
      <c r="K14" s="3"/>
    </row>
    <row r="15" spans="1:12">
      <c r="B15" s="157" t="s">
        <v>74</v>
      </c>
      <c r="C15" s="157"/>
      <c r="D15" s="157"/>
      <c r="E15" s="157"/>
    </row>
    <row r="16" spans="1:12" ht="14.5" customHeight="1">
      <c r="B16" s="21"/>
      <c r="C16" s="158">
        <v>0.371</v>
      </c>
      <c r="D16" s="158"/>
      <c r="E16" s="21"/>
      <c r="G16" s="149" t="s">
        <v>71</v>
      </c>
      <c r="H16" s="149"/>
      <c r="I16" s="149"/>
      <c r="J16" s="149"/>
      <c r="K16" s="149"/>
    </row>
    <row r="17" spans="2:11">
      <c r="B17" s="21"/>
      <c r="C17" s="158"/>
      <c r="D17" s="158"/>
      <c r="E17" s="21"/>
      <c r="G17" s="2" t="s">
        <v>32</v>
      </c>
      <c r="H17" s="2" t="s">
        <v>33</v>
      </c>
      <c r="I17" s="2" t="s">
        <v>68</v>
      </c>
      <c r="J17" s="2" t="s">
        <v>34</v>
      </c>
      <c r="K17" s="2" t="s">
        <v>35</v>
      </c>
    </row>
    <row r="18" spans="2:11">
      <c r="B18" s="159" t="s">
        <v>3</v>
      </c>
      <c r="C18" s="157"/>
      <c r="D18" s="157"/>
      <c r="E18" s="157"/>
      <c r="G18" s="4" t="s">
        <v>36</v>
      </c>
      <c r="H18" s="4">
        <v>335</v>
      </c>
      <c r="I18" s="11">
        <v>0.13400000000000001</v>
      </c>
      <c r="J18" s="8" t="s">
        <v>37</v>
      </c>
      <c r="K18" s="4" t="s">
        <v>38</v>
      </c>
    </row>
    <row r="19" spans="2:11">
      <c r="B19" s="15"/>
      <c r="C19" s="15"/>
      <c r="D19" s="15"/>
      <c r="E19" s="15"/>
      <c r="G19" s="4" t="s">
        <v>39</v>
      </c>
      <c r="H19" s="4">
        <v>323</v>
      </c>
      <c r="I19" s="11">
        <v>0.129</v>
      </c>
      <c r="J19" s="8" t="s">
        <v>37</v>
      </c>
      <c r="K19" s="4" t="s">
        <v>69</v>
      </c>
    </row>
    <row r="20" spans="2:11">
      <c r="G20" s="4" t="s">
        <v>40</v>
      </c>
      <c r="H20" s="4">
        <v>322</v>
      </c>
      <c r="I20" s="11">
        <v>0.129</v>
      </c>
      <c r="J20" s="8" t="s">
        <v>37</v>
      </c>
      <c r="K20" s="4" t="s">
        <v>41</v>
      </c>
    </row>
    <row r="21" spans="2:11">
      <c r="G21" s="4" t="s">
        <v>42</v>
      </c>
      <c r="H21" s="4">
        <v>317</v>
      </c>
      <c r="I21" s="11">
        <v>0.127</v>
      </c>
      <c r="J21" s="9" t="s">
        <v>43</v>
      </c>
      <c r="K21" s="4" t="s">
        <v>44</v>
      </c>
    </row>
    <row r="22" spans="2:11" ht="14.5" customHeight="1">
      <c r="B22" s="16"/>
      <c r="C22" s="16"/>
      <c r="D22" s="16"/>
      <c r="E22" s="16"/>
      <c r="G22" s="4" t="s">
        <v>45</v>
      </c>
      <c r="H22" s="4">
        <v>304</v>
      </c>
      <c r="I22" s="11">
        <v>0.122</v>
      </c>
      <c r="J22" s="9" t="s">
        <v>43</v>
      </c>
      <c r="K22" s="4" t="s">
        <v>46</v>
      </c>
    </row>
    <row r="23" spans="2:11" ht="14.5" customHeight="1">
      <c r="B23" s="165" t="s">
        <v>75</v>
      </c>
      <c r="C23" s="165"/>
      <c r="D23" s="165"/>
      <c r="E23" s="165"/>
      <c r="G23" s="4" t="s">
        <v>47</v>
      </c>
      <c r="H23" s="4">
        <v>303</v>
      </c>
      <c r="I23" s="11">
        <v>0.121</v>
      </c>
      <c r="J23" s="9" t="s">
        <v>43</v>
      </c>
      <c r="K23" s="4" t="s">
        <v>48</v>
      </c>
    </row>
    <row r="24" spans="2:11">
      <c r="B24" s="22"/>
      <c r="C24" s="166" t="s">
        <v>76</v>
      </c>
      <c r="D24" s="166"/>
      <c r="E24" s="22"/>
      <c r="G24" s="4" t="s">
        <v>49</v>
      </c>
      <c r="H24" s="4">
        <v>297</v>
      </c>
      <c r="I24" s="11">
        <v>0.11899999999999999</v>
      </c>
      <c r="J24" s="10" t="s">
        <v>50</v>
      </c>
      <c r="K24" s="4" t="s">
        <v>51</v>
      </c>
    </row>
    <row r="25" spans="2:11">
      <c r="B25" s="22"/>
      <c r="C25" s="166"/>
      <c r="D25" s="166"/>
      <c r="E25" s="22"/>
      <c r="G25" s="4" t="s">
        <v>52</v>
      </c>
      <c r="H25" s="4">
        <v>294</v>
      </c>
      <c r="I25" s="11">
        <v>0.11799999999999999</v>
      </c>
      <c r="J25" s="10" t="s">
        <v>50</v>
      </c>
      <c r="K25" s="4" t="s">
        <v>53</v>
      </c>
    </row>
    <row r="26" spans="2:11">
      <c r="B26" s="167" t="s">
        <v>4</v>
      </c>
      <c r="C26" s="165"/>
      <c r="D26" s="165"/>
      <c r="E26" s="165"/>
    </row>
    <row r="27" spans="2:11">
      <c r="B27" s="16"/>
      <c r="C27" s="16"/>
      <c r="D27" s="16"/>
      <c r="E27" s="16"/>
    </row>
    <row r="28" spans="2:11">
      <c r="G28" s="149" t="s">
        <v>73</v>
      </c>
      <c r="H28" s="149"/>
    </row>
    <row r="29" spans="2:11">
      <c r="G29" s="1" t="s">
        <v>66</v>
      </c>
      <c r="H29" s="1" t="s">
        <v>67</v>
      </c>
    </row>
    <row r="30" spans="2:11" ht="14.5" customHeight="1">
      <c r="B30" s="17"/>
      <c r="C30" s="17"/>
      <c r="D30" s="17"/>
      <c r="E30" s="17"/>
      <c r="G30" s="12" t="s">
        <v>54</v>
      </c>
      <c r="H30" s="1" t="s">
        <v>55</v>
      </c>
    </row>
    <row r="31" spans="2:11" ht="14.5" customHeight="1">
      <c r="B31" s="162" t="s">
        <v>77</v>
      </c>
      <c r="C31" s="162"/>
      <c r="D31" s="162"/>
      <c r="E31" s="162"/>
      <c r="G31" s="12" t="s">
        <v>56</v>
      </c>
      <c r="H31" s="1" t="s">
        <v>57</v>
      </c>
    </row>
    <row r="32" spans="2:11">
      <c r="B32" s="23"/>
      <c r="C32" s="160" t="s">
        <v>5</v>
      </c>
      <c r="D32" s="160"/>
      <c r="E32" s="23"/>
      <c r="G32" s="12" t="s">
        <v>58</v>
      </c>
      <c r="H32" s="1" t="s">
        <v>59</v>
      </c>
    </row>
    <row r="33" spans="2:8">
      <c r="B33" s="23"/>
      <c r="C33" s="160"/>
      <c r="D33" s="160"/>
      <c r="E33" s="23"/>
      <c r="G33" s="13" t="s">
        <v>60</v>
      </c>
      <c r="H33" s="1" t="s">
        <v>61</v>
      </c>
    </row>
    <row r="34" spans="2:8">
      <c r="B34" s="161" t="s">
        <v>78</v>
      </c>
      <c r="C34" s="162"/>
      <c r="D34" s="162"/>
      <c r="E34" s="162"/>
      <c r="G34" s="13" t="s">
        <v>62</v>
      </c>
      <c r="H34" s="1" t="s">
        <v>63</v>
      </c>
    </row>
    <row r="35" spans="2:8">
      <c r="B35" s="17"/>
      <c r="C35" s="17"/>
      <c r="D35" s="17"/>
      <c r="E35" s="17"/>
      <c r="G35" s="14" t="s">
        <v>64</v>
      </c>
      <c r="H35" s="1" t="s">
        <v>65</v>
      </c>
    </row>
  </sheetData>
  <mergeCells count="18">
    <mergeCell ref="C32:D33"/>
    <mergeCell ref="B34:E34"/>
    <mergeCell ref="B8:E9"/>
    <mergeCell ref="B6:E7"/>
    <mergeCell ref="B11:E11"/>
    <mergeCell ref="B23:E23"/>
    <mergeCell ref="C24:D25"/>
    <mergeCell ref="B26:E26"/>
    <mergeCell ref="B31:E31"/>
    <mergeCell ref="G28:H28"/>
    <mergeCell ref="B10:E10"/>
    <mergeCell ref="A1:L1"/>
    <mergeCell ref="A2:L2"/>
    <mergeCell ref="B15:E15"/>
    <mergeCell ref="C16:D17"/>
    <mergeCell ref="B18:E18"/>
    <mergeCell ref="G16:K16"/>
    <mergeCell ref="G5:K5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1B39-358C-403C-B523-ACCED14777EB}">
  <sheetPr>
    <tabColor rgb="FFFF7471"/>
  </sheetPr>
  <dimension ref="A1:M26"/>
  <sheetViews>
    <sheetView showGridLines="0" zoomScale="70" zoomScaleNormal="200" workbookViewId="0">
      <selection activeCell="B3" sqref="B3"/>
    </sheetView>
  </sheetViews>
  <sheetFormatPr defaultRowHeight="14.5"/>
  <cols>
    <col min="2" max="2" width="23.54296875" customWidth="1"/>
    <col min="3" max="3" width="20.90625" customWidth="1"/>
    <col min="4" max="4" width="16.453125" customWidth="1"/>
    <col min="5" max="5" width="16.81640625" customWidth="1"/>
    <col min="6" max="6" width="17.08984375" customWidth="1"/>
    <col min="8" max="8" width="16.08984375" bestFit="1" customWidth="1"/>
    <col min="9" max="9" width="6.1796875" bestFit="1" customWidth="1"/>
    <col min="10" max="10" width="8.81640625" bestFit="1" customWidth="1"/>
    <col min="11" max="11" width="8.7265625" bestFit="1" customWidth="1"/>
    <col min="12" max="12" width="22" bestFit="1" customWidth="1"/>
  </cols>
  <sheetData>
    <row r="1" spans="1:13" ht="21">
      <c r="A1" s="152" t="s">
        <v>79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</row>
    <row r="2" spans="1:13">
      <c r="A2" s="153" t="s">
        <v>143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</row>
    <row r="5" spans="1:13">
      <c r="B5" s="150" t="s">
        <v>80</v>
      </c>
      <c r="C5" s="150"/>
      <c r="D5" s="150"/>
      <c r="E5" s="150"/>
      <c r="F5" s="150"/>
      <c r="H5" s="150" t="s">
        <v>140</v>
      </c>
      <c r="I5" s="150"/>
      <c r="J5" s="150"/>
      <c r="K5" s="150"/>
      <c r="L5" s="150"/>
    </row>
    <row r="6" spans="1:13">
      <c r="B6" s="24" t="s">
        <v>81</v>
      </c>
      <c r="C6" s="24" t="s">
        <v>82</v>
      </c>
      <c r="D6" s="24" t="s">
        <v>8</v>
      </c>
      <c r="E6" s="24" t="s">
        <v>83</v>
      </c>
      <c r="F6" s="24" t="s">
        <v>84</v>
      </c>
      <c r="H6" s="29" t="s">
        <v>122</v>
      </c>
      <c r="I6" s="29" t="s">
        <v>33</v>
      </c>
      <c r="J6" s="29" t="s">
        <v>8</v>
      </c>
      <c r="K6" s="29" t="s">
        <v>123</v>
      </c>
      <c r="L6" s="29" t="s">
        <v>124</v>
      </c>
    </row>
    <row r="7" spans="1:13">
      <c r="B7" s="25" t="s">
        <v>85</v>
      </c>
      <c r="C7" s="25">
        <v>243</v>
      </c>
      <c r="D7" s="25">
        <v>134</v>
      </c>
      <c r="E7" s="26">
        <v>0.55100000000000005</v>
      </c>
      <c r="F7" s="25" t="s">
        <v>86</v>
      </c>
      <c r="H7" s="30" t="s">
        <v>111</v>
      </c>
      <c r="I7" s="30">
        <v>908</v>
      </c>
      <c r="J7" s="30">
        <v>529</v>
      </c>
      <c r="K7" s="31">
        <v>0.58299999999999996</v>
      </c>
      <c r="L7" s="30" t="s">
        <v>112</v>
      </c>
    </row>
    <row r="8" spans="1:13">
      <c r="B8" s="25" t="s">
        <v>87</v>
      </c>
      <c r="C8" s="25">
        <v>258</v>
      </c>
      <c r="D8" s="25">
        <v>138</v>
      </c>
      <c r="E8" s="26">
        <v>0.53500000000000003</v>
      </c>
      <c r="F8" s="25" t="s">
        <v>86</v>
      </c>
      <c r="H8" s="32" t="s">
        <v>113</v>
      </c>
      <c r="I8" s="32">
        <v>991</v>
      </c>
      <c r="J8" s="32">
        <v>494</v>
      </c>
      <c r="K8" s="33">
        <v>0.498</v>
      </c>
      <c r="L8" s="32" t="s">
        <v>114</v>
      </c>
    </row>
    <row r="9" spans="1:13">
      <c r="B9" s="25" t="s">
        <v>88</v>
      </c>
      <c r="C9" s="25">
        <v>264</v>
      </c>
      <c r="D9" s="25">
        <v>141</v>
      </c>
      <c r="E9" s="26">
        <v>0.53400000000000003</v>
      </c>
      <c r="F9" s="25" t="s">
        <v>86</v>
      </c>
      <c r="H9" s="34" t="s">
        <v>115</v>
      </c>
      <c r="I9" s="34">
        <v>933</v>
      </c>
      <c r="J9" s="34">
        <v>464</v>
      </c>
      <c r="K9" s="35">
        <v>0.497</v>
      </c>
      <c r="L9" s="34" t="s">
        <v>114</v>
      </c>
    </row>
    <row r="10" spans="1:13">
      <c r="B10" s="6" t="s">
        <v>89</v>
      </c>
      <c r="C10" s="6">
        <v>243</v>
      </c>
      <c r="D10" s="6">
        <v>128</v>
      </c>
      <c r="E10" s="7">
        <v>0.52700000000000002</v>
      </c>
      <c r="F10" s="6" t="s">
        <v>90</v>
      </c>
      <c r="H10" s="32" t="s">
        <v>116</v>
      </c>
      <c r="I10" s="32">
        <v>1459</v>
      </c>
      <c r="J10" s="32">
        <v>688</v>
      </c>
      <c r="K10" s="33">
        <v>0.47199999999999998</v>
      </c>
      <c r="L10" s="32" t="s">
        <v>117</v>
      </c>
    </row>
    <row r="11" spans="1:13">
      <c r="B11" s="6" t="s">
        <v>91</v>
      </c>
      <c r="C11" s="6">
        <v>272</v>
      </c>
      <c r="D11" s="6">
        <v>143</v>
      </c>
      <c r="E11" s="7">
        <v>0.52600000000000002</v>
      </c>
      <c r="F11" s="6" t="s">
        <v>90</v>
      </c>
      <c r="H11" s="34" t="s">
        <v>118</v>
      </c>
      <c r="I11" s="34">
        <v>481</v>
      </c>
      <c r="J11" s="34">
        <v>218</v>
      </c>
      <c r="K11" s="35">
        <v>0.45300000000000001</v>
      </c>
      <c r="L11" s="34" t="s">
        <v>119</v>
      </c>
    </row>
    <row r="12" spans="1:13">
      <c r="B12" s="6" t="s">
        <v>92</v>
      </c>
      <c r="C12" s="6">
        <v>248</v>
      </c>
      <c r="D12" s="6">
        <v>130</v>
      </c>
      <c r="E12" s="7">
        <v>0.52400000000000002</v>
      </c>
      <c r="F12" s="6" t="s">
        <v>90</v>
      </c>
      <c r="H12" s="36" t="s">
        <v>120</v>
      </c>
      <c r="I12" s="36">
        <v>228</v>
      </c>
      <c r="J12" s="36">
        <v>102</v>
      </c>
      <c r="K12" s="37">
        <v>0.44700000000000001</v>
      </c>
      <c r="L12" s="36" t="s">
        <v>121</v>
      </c>
    </row>
    <row r="13" spans="1:13">
      <c r="B13" s="6" t="s">
        <v>93</v>
      </c>
      <c r="C13" s="6">
        <v>241</v>
      </c>
      <c r="D13" s="6">
        <v>126</v>
      </c>
      <c r="E13" s="7">
        <v>0.52300000000000002</v>
      </c>
      <c r="F13" s="6" t="s">
        <v>94</v>
      </c>
    </row>
    <row r="14" spans="1:13">
      <c r="B14" s="6" t="s">
        <v>95</v>
      </c>
      <c r="C14" s="6">
        <v>244</v>
      </c>
      <c r="D14" s="6">
        <v>127</v>
      </c>
      <c r="E14" s="7">
        <v>0.52</v>
      </c>
      <c r="F14" s="6" t="s">
        <v>94</v>
      </c>
      <c r="H14" s="150" t="s">
        <v>141</v>
      </c>
      <c r="I14" s="150"/>
      <c r="J14" s="150"/>
      <c r="K14" s="150"/>
      <c r="L14" s="150"/>
    </row>
    <row r="15" spans="1:13">
      <c r="B15" s="6" t="s">
        <v>96</v>
      </c>
      <c r="C15" s="6">
        <v>248</v>
      </c>
      <c r="D15" s="6">
        <v>127</v>
      </c>
      <c r="E15" s="7">
        <v>0.51200000000000001</v>
      </c>
      <c r="F15" s="6" t="s">
        <v>94</v>
      </c>
      <c r="H15" s="29" t="s">
        <v>133</v>
      </c>
      <c r="I15" s="29" t="s">
        <v>33</v>
      </c>
      <c r="J15" s="29" t="s">
        <v>8</v>
      </c>
      <c r="K15" s="29" t="s">
        <v>123</v>
      </c>
      <c r="L15" s="29"/>
    </row>
    <row r="16" spans="1:13">
      <c r="B16" s="6" t="s">
        <v>97</v>
      </c>
      <c r="C16" s="6">
        <v>245</v>
      </c>
      <c r="D16" s="6">
        <v>125</v>
      </c>
      <c r="E16" s="7">
        <v>0.51</v>
      </c>
      <c r="F16" s="6" t="s">
        <v>94</v>
      </c>
      <c r="H16" s="30" t="s">
        <v>134</v>
      </c>
      <c r="I16" s="30">
        <v>2048</v>
      </c>
      <c r="J16" s="30">
        <v>1118</v>
      </c>
      <c r="K16" s="31">
        <v>0.54600000000000004</v>
      </c>
      <c r="L16" s="30" t="s">
        <v>135</v>
      </c>
    </row>
    <row r="17" spans="2:12">
      <c r="B17" s="6" t="s">
        <v>98</v>
      </c>
      <c r="C17" s="6">
        <v>255</v>
      </c>
      <c r="D17" s="6">
        <v>130</v>
      </c>
      <c r="E17" s="7">
        <v>0.51</v>
      </c>
      <c r="F17" s="6" t="s">
        <v>94</v>
      </c>
      <c r="H17" s="32" t="s">
        <v>136</v>
      </c>
      <c r="I17" s="32">
        <v>755</v>
      </c>
      <c r="J17" s="32">
        <v>359</v>
      </c>
      <c r="K17" s="33">
        <v>0.47499999999999998</v>
      </c>
      <c r="L17" s="32"/>
    </row>
    <row r="18" spans="2:12">
      <c r="B18" s="6" t="s">
        <v>99</v>
      </c>
      <c r="C18" s="6">
        <v>229</v>
      </c>
      <c r="D18" s="6">
        <v>114</v>
      </c>
      <c r="E18" s="7">
        <v>0.498</v>
      </c>
      <c r="F18" s="6" t="s">
        <v>94</v>
      </c>
      <c r="H18" s="34" t="s">
        <v>137</v>
      </c>
      <c r="I18" s="34">
        <v>1719</v>
      </c>
      <c r="J18" s="34">
        <v>803</v>
      </c>
      <c r="K18" s="35">
        <v>0.46700000000000003</v>
      </c>
      <c r="L18" s="34"/>
    </row>
    <row r="19" spans="2:12">
      <c r="B19" s="6" t="s">
        <v>100</v>
      </c>
      <c r="C19" s="6">
        <v>248</v>
      </c>
      <c r="D19" s="6">
        <v>120</v>
      </c>
      <c r="E19" s="7">
        <v>0.48399999999999999</v>
      </c>
      <c r="F19" s="6" t="s">
        <v>101</v>
      </c>
      <c r="H19" s="39" t="s">
        <v>138</v>
      </c>
      <c r="I19" s="39">
        <v>478</v>
      </c>
      <c r="J19" s="39">
        <v>215</v>
      </c>
      <c r="K19" s="40">
        <v>0.45</v>
      </c>
      <c r="L19" s="39" t="s">
        <v>139</v>
      </c>
    </row>
    <row r="20" spans="2:12">
      <c r="B20" s="6" t="s">
        <v>102</v>
      </c>
      <c r="C20" s="6">
        <v>253</v>
      </c>
      <c r="D20" s="6">
        <v>121</v>
      </c>
      <c r="E20" s="7">
        <v>0.47799999999999998</v>
      </c>
      <c r="F20" s="6" t="s">
        <v>101</v>
      </c>
    </row>
    <row r="21" spans="2:12">
      <c r="B21" s="6" t="s">
        <v>103</v>
      </c>
      <c r="C21" s="6">
        <v>303</v>
      </c>
      <c r="D21" s="6">
        <v>144</v>
      </c>
      <c r="E21" s="7">
        <v>0.47499999999999998</v>
      </c>
      <c r="F21" s="6" t="s">
        <v>101</v>
      </c>
      <c r="H21" s="168" t="s">
        <v>142</v>
      </c>
      <c r="I21" s="168"/>
      <c r="J21" s="168"/>
      <c r="K21" s="168"/>
      <c r="L21" s="168"/>
    </row>
    <row r="22" spans="2:12">
      <c r="B22" s="6" t="s">
        <v>104</v>
      </c>
      <c r="C22" s="6">
        <v>237</v>
      </c>
      <c r="D22" s="6">
        <v>111</v>
      </c>
      <c r="E22" s="7">
        <v>0.46800000000000003</v>
      </c>
      <c r="F22" s="6" t="s">
        <v>101</v>
      </c>
      <c r="H22" s="38" t="s">
        <v>125</v>
      </c>
      <c r="I22" s="38" t="s">
        <v>33</v>
      </c>
      <c r="J22" s="38" t="s">
        <v>8</v>
      </c>
      <c r="K22" s="38" t="s">
        <v>123</v>
      </c>
      <c r="L22" s="38"/>
    </row>
    <row r="23" spans="2:12">
      <c r="B23" s="6" t="s">
        <v>105</v>
      </c>
      <c r="C23" s="6">
        <v>250</v>
      </c>
      <c r="D23" s="6">
        <v>116</v>
      </c>
      <c r="E23" s="7">
        <v>0.46400000000000002</v>
      </c>
      <c r="F23" s="6" t="s">
        <v>106</v>
      </c>
      <c r="H23" s="30" t="s">
        <v>126</v>
      </c>
      <c r="I23" s="30">
        <v>421</v>
      </c>
      <c r="J23" s="30">
        <v>228</v>
      </c>
      <c r="K23" s="31">
        <v>0.54200000000000004</v>
      </c>
      <c r="L23" s="30" t="s">
        <v>127</v>
      </c>
    </row>
    <row r="24" spans="2:12">
      <c r="B24" s="6" t="s">
        <v>107</v>
      </c>
      <c r="C24" s="6">
        <v>255</v>
      </c>
      <c r="D24" s="6">
        <v>118</v>
      </c>
      <c r="E24" s="7">
        <v>0.46300000000000002</v>
      </c>
      <c r="F24" s="6" t="s">
        <v>106</v>
      </c>
      <c r="H24" s="32" t="s">
        <v>128</v>
      </c>
      <c r="I24" s="32">
        <v>540</v>
      </c>
      <c r="J24" s="32">
        <v>289</v>
      </c>
      <c r="K24" s="33">
        <v>0.53500000000000003</v>
      </c>
      <c r="L24" s="32" t="s">
        <v>129</v>
      </c>
    </row>
    <row r="25" spans="2:12">
      <c r="B25" s="27" t="s">
        <v>108</v>
      </c>
      <c r="C25" s="27">
        <v>231</v>
      </c>
      <c r="D25" s="27">
        <v>101</v>
      </c>
      <c r="E25" s="28">
        <v>0.437</v>
      </c>
      <c r="F25" s="27" t="s">
        <v>109</v>
      </c>
      <c r="H25" s="34" t="s">
        <v>130</v>
      </c>
      <c r="I25" s="34">
        <v>943</v>
      </c>
      <c r="J25" s="34">
        <v>471</v>
      </c>
      <c r="K25" s="35">
        <v>0.499</v>
      </c>
      <c r="L25" s="34" t="s">
        <v>114</v>
      </c>
    </row>
    <row r="26" spans="2:12">
      <c r="B26" s="27" t="s">
        <v>110</v>
      </c>
      <c r="C26" s="27">
        <v>233</v>
      </c>
      <c r="D26" s="27">
        <v>101</v>
      </c>
      <c r="E26" s="28">
        <v>0.433</v>
      </c>
      <c r="F26" s="27" t="s">
        <v>109</v>
      </c>
      <c r="H26" s="36" t="s">
        <v>131</v>
      </c>
      <c r="I26" s="36">
        <v>3096</v>
      </c>
      <c r="J26" s="36">
        <v>1507</v>
      </c>
      <c r="K26" s="37">
        <v>0.48699999999999999</v>
      </c>
      <c r="L26" s="36" t="s">
        <v>132</v>
      </c>
    </row>
  </sheetData>
  <mergeCells count="6">
    <mergeCell ref="H5:L5"/>
    <mergeCell ref="H14:L14"/>
    <mergeCell ref="H21:L21"/>
    <mergeCell ref="B5:F5"/>
    <mergeCell ref="A1:M1"/>
    <mergeCell ref="A2:M2"/>
  </mergeCells>
  <conditionalFormatting sqref="E7:E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:F26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A13F-CBE9-43DE-9CD4-E59F6E443EE7}">
  <sheetPr>
    <tabColor theme="5" tint="0.39997558519241921"/>
  </sheetPr>
  <dimension ref="A1:M42"/>
  <sheetViews>
    <sheetView showGridLines="0" topLeftCell="A6" zoomScale="70" zoomScaleNormal="70" workbookViewId="0">
      <selection activeCell="F32" sqref="F32"/>
    </sheetView>
  </sheetViews>
  <sheetFormatPr defaultRowHeight="14.5"/>
  <cols>
    <col min="2" max="2" width="21.90625" customWidth="1"/>
    <col min="3" max="3" width="10.36328125" customWidth="1"/>
    <col min="4" max="4" width="12.1796875" customWidth="1"/>
    <col min="5" max="5" width="15.81640625" customWidth="1"/>
    <col min="6" max="6" width="32.7265625" bestFit="1" customWidth="1"/>
    <col min="7" max="7" width="30.36328125" bestFit="1" customWidth="1"/>
  </cols>
  <sheetData>
    <row r="1" spans="1:13" ht="21">
      <c r="A1" s="152" t="s">
        <v>144</v>
      </c>
      <c r="B1" s="152"/>
      <c r="C1" s="152"/>
      <c r="D1" s="152"/>
      <c r="E1" s="152"/>
      <c r="F1" s="152"/>
      <c r="G1" s="152"/>
      <c r="H1" s="152"/>
      <c r="I1" s="41"/>
      <c r="J1" s="41"/>
      <c r="K1" s="41"/>
      <c r="L1" s="41"/>
      <c r="M1" s="41"/>
    </row>
    <row r="2" spans="1:13">
      <c r="A2" s="153" t="s">
        <v>145</v>
      </c>
      <c r="B2" s="153"/>
      <c r="C2" s="153"/>
      <c r="D2" s="153"/>
      <c r="E2" s="153"/>
      <c r="F2" s="153"/>
      <c r="G2" s="153"/>
      <c r="H2" s="153"/>
      <c r="I2" s="1"/>
      <c r="J2" s="1"/>
      <c r="K2" s="1"/>
      <c r="L2" s="1"/>
      <c r="M2" s="1"/>
    </row>
    <row r="5" spans="1:13">
      <c r="B5" s="150" t="s">
        <v>191</v>
      </c>
      <c r="C5" s="150"/>
      <c r="D5" s="150"/>
      <c r="E5" s="150"/>
      <c r="F5" s="150"/>
      <c r="G5" s="150"/>
    </row>
    <row r="6" spans="1:13">
      <c r="B6" s="42" t="s">
        <v>146</v>
      </c>
      <c r="C6" s="43" t="s">
        <v>33</v>
      </c>
      <c r="D6" s="43" t="s">
        <v>147</v>
      </c>
      <c r="E6" s="43" t="s">
        <v>148</v>
      </c>
      <c r="F6" s="43" t="s">
        <v>149</v>
      </c>
      <c r="G6" s="44" t="s">
        <v>124</v>
      </c>
    </row>
    <row r="7" spans="1:13">
      <c r="B7" s="51">
        <v>3</v>
      </c>
      <c r="C7" s="52">
        <v>317</v>
      </c>
      <c r="D7" s="54">
        <v>0.29099999999999998</v>
      </c>
      <c r="E7" s="52">
        <v>4.05</v>
      </c>
      <c r="F7" s="54">
        <v>8.5999999999999993E-2</v>
      </c>
      <c r="G7" s="53" t="s">
        <v>150</v>
      </c>
    </row>
    <row r="8" spans="1:13">
      <c r="B8" s="51">
        <v>4</v>
      </c>
      <c r="C8" s="52">
        <v>1409</v>
      </c>
      <c r="D8" s="54">
        <v>0.27</v>
      </c>
      <c r="E8" s="52">
        <v>4.07</v>
      </c>
      <c r="F8" s="54">
        <v>8.7999999999999995E-2</v>
      </c>
      <c r="G8" s="53" t="s">
        <v>151</v>
      </c>
    </row>
    <row r="9" spans="1:13">
      <c r="B9" s="51">
        <v>5</v>
      </c>
      <c r="C9" s="52">
        <v>2182</v>
      </c>
      <c r="D9" s="54">
        <v>0.28499999999999998</v>
      </c>
      <c r="E9" s="52">
        <v>4.0999999999999996</v>
      </c>
      <c r="F9" s="54">
        <v>8.1000000000000003E-2</v>
      </c>
      <c r="G9" s="53" t="s">
        <v>151</v>
      </c>
    </row>
    <row r="10" spans="1:13">
      <c r="B10" s="51">
        <v>6</v>
      </c>
      <c r="C10" s="52">
        <v>2456</v>
      </c>
      <c r="D10" s="54">
        <v>0.27400000000000002</v>
      </c>
      <c r="E10" s="52">
        <v>4.0599999999999996</v>
      </c>
      <c r="F10" s="54">
        <v>9.4E-2</v>
      </c>
      <c r="G10" s="53" t="s">
        <v>152</v>
      </c>
    </row>
    <row r="11" spans="1:13">
      <c r="B11" s="51">
        <v>7</v>
      </c>
      <c r="C11" s="52">
        <v>1805</v>
      </c>
      <c r="D11" s="54">
        <v>0.27100000000000002</v>
      </c>
      <c r="E11" s="52">
        <v>4.05</v>
      </c>
      <c r="F11" s="54">
        <v>9.4E-2</v>
      </c>
      <c r="G11" s="53" t="s">
        <v>153</v>
      </c>
    </row>
    <row r="12" spans="1:13">
      <c r="B12" s="69">
        <v>8</v>
      </c>
      <c r="C12" s="65">
        <v>1253</v>
      </c>
      <c r="D12" s="70">
        <v>0.28100000000000003</v>
      </c>
      <c r="E12" s="65">
        <v>2.82</v>
      </c>
      <c r="F12" s="70">
        <v>0.14199999999999999</v>
      </c>
      <c r="G12" s="71" t="s">
        <v>154</v>
      </c>
    </row>
    <row r="13" spans="1:13">
      <c r="B13" s="72">
        <v>9</v>
      </c>
      <c r="C13" s="73">
        <v>506</v>
      </c>
      <c r="D13" s="74">
        <v>0.29899999999999999</v>
      </c>
      <c r="E13" s="73">
        <v>2.81</v>
      </c>
      <c r="F13" s="74">
        <v>0.127</v>
      </c>
      <c r="G13" s="75" t="s">
        <v>155</v>
      </c>
    </row>
    <row r="14" spans="1:13">
      <c r="B14" s="3"/>
      <c r="C14" s="3"/>
      <c r="D14" s="5"/>
      <c r="E14" s="3"/>
      <c r="F14" s="5"/>
      <c r="G14" s="3"/>
    </row>
    <row r="15" spans="1:13">
      <c r="B15" s="150" t="s">
        <v>186</v>
      </c>
      <c r="C15" s="150"/>
      <c r="D15" s="150"/>
      <c r="E15" s="150"/>
      <c r="F15" s="150"/>
      <c r="G15" s="150"/>
    </row>
    <row r="16" spans="1:13">
      <c r="B16" s="42" t="s">
        <v>156</v>
      </c>
      <c r="C16" s="43" t="s">
        <v>33</v>
      </c>
      <c r="D16" s="43" t="s">
        <v>147</v>
      </c>
      <c r="E16" s="43" t="s">
        <v>157</v>
      </c>
      <c r="F16" s="43" t="s">
        <v>66</v>
      </c>
      <c r="G16" s="47" t="s">
        <v>158</v>
      </c>
    </row>
    <row r="17" spans="2:7">
      <c r="B17" s="51" t="s">
        <v>159</v>
      </c>
      <c r="C17" s="52">
        <v>4549</v>
      </c>
      <c r="D17" s="54">
        <v>0.28499999999999998</v>
      </c>
      <c r="E17" s="59">
        <v>1028</v>
      </c>
      <c r="F17" s="52" t="s">
        <v>160</v>
      </c>
      <c r="G17" s="48" t="s">
        <v>161</v>
      </c>
    </row>
    <row r="18" spans="2:7">
      <c r="B18" s="51" t="s">
        <v>162</v>
      </c>
      <c r="C18" s="52">
        <v>536</v>
      </c>
      <c r="D18" s="54">
        <v>0.28299999999999997</v>
      </c>
      <c r="E18" s="59">
        <v>349</v>
      </c>
      <c r="F18" s="52" t="s">
        <v>177</v>
      </c>
      <c r="G18" s="49" t="s">
        <v>163</v>
      </c>
    </row>
    <row r="19" spans="2:7">
      <c r="B19" s="51" t="s">
        <v>164</v>
      </c>
      <c r="C19" s="52">
        <v>1108</v>
      </c>
      <c r="D19" s="54">
        <v>0.25700000000000001</v>
      </c>
      <c r="E19" s="59">
        <v>347</v>
      </c>
      <c r="F19" s="52" t="s">
        <v>165</v>
      </c>
      <c r="G19" s="48" t="s">
        <v>166</v>
      </c>
    </row>
    <row r="20" spans="2:7">
      <c r="B20" s="60" t="s">
        <v>167</v>
      </c>
      <c r="C20" s="61">
        <v>918</v>
      </c>
      <c r="D20" s="62">
        <v>0.23899999999999999</v>
      </c>
      <c r="E20" s="63">
        <v>344</v>
      </c>
      <c r="F20" s="61" t="s">
        <v>168</v>
      </c>
      <c r="G20" s="50" t="s">
        <v>169</v>
      </c>
    </row>
    <row r="22" spans="2:7" ht="14.5" customHeight="1">
      <c r="B22" s="170" t="s">
        <v>190</v>
      </c>
      <c r="C22" s="170"/>
      <c r="D22" s="170"/>
      <c r="E22" s="170"/>
      <c r="F22" s="170"/>
      <c r="G22" s="170"/>
    </row>
    <row r="23" spans="2:7">
      <c r="B23" s="170"/>
      <c r="C23" s="170"/>
      <c r="D23" s="170"/>
      <c r="E23" s="170"/>
      <c r="F23" s="170"/>
      <c r="G23" s="170"/>
    </row>
    <row r="24" spans="2:7">
      <c r="B24" s="64"/>
      <c r="C24" s="64"/>
      <c r="D24" s="64"/>
      <c r="E24" s="64"/>
      <c r="F24" s="64"/>
      <c r="G24" s="64"/>
    </row>
    <row r="25" spans="2:7">
      <c r="B25" s="150" t="s">
        <v>187</v>
      </c>
      <c r="C25" s="150"/>
      <c r="D25" s="150"/>
      <c r="E25" s="150"/>
    </row>
    <row r="26" spans="2:7">
      <c r="B26" s="42" t="s">
        <v>170</v>
      </c>
      <c r="C26" s="43" t="s">
        <v>33</v>
      </c>
      <c r="D26" s="43" t="s">
        <v>147</v>
      </c>
      <c r="E26" s="44" t="s">
        <v>66</v>
      </c>
    </row>
    <row r="27" spans="2:7">
      <c r="B27" s="45" t="s">
        <v>178</v>
      </c>
      <c r="C27" s="52">
        <v>244</v>
      </c>
      <c r="D27" s="54">
        <v>0.51200000000000001</v>
      </c>
      <c r="E27" s="53" t="s">
        <v>179</v>
      </c>
    </row>
    <row r="28" spans="2:7">
      <c r="B28" s="45" t="s">
        <v>180</v>
      </c>
      <c r="C28" s="52">
        <v>344</v>
      </c>
      <c r="D28" s="54">
        <v>0.52300000000000002</v>
      </c>
      <c r="E28" s="53" t="s">
        <v>179</v>
      </c>
    </row>
    <row r="29" spans="2:7">
      <c r="B29" s="45" t="s">
        <v>181</v>
      </c>
      <c r="C29" s="52">
        <v>961</v>
      </c>
      <c r="D29" s="54">
        <v>0.495</v>
      </c>
      <c r="E29" s="53" t="s">
        <v>182</v>
      </c>
    </row>
    <row r="30" spans="2:7">
      <c r="B30" s="45" t="s">
        <v>183</v>
      </c>
      <c r="C30" s="52">
        <v>1721</v>
      </c>
      <c r="D30" s="54">
        <v>0.48899999999999999</v>
      </c>
      <c r="E30" s="53" t="s">
        <v>182</v>
      </c>
    </row>
    <row r="31" spans="2:7">
      <c r="B31" s="46" t="s">
        <v>184</v>
      </c>
      <c r="C31" s="58">
        <v>1730</v>
      </c>
      <c r="D31" s="56">
        <v>0.505</v>
      </c>
      <c r="E31" s="57" t="s">
        <v>185</v>
      </c>
    </row>
    <row r="32" spans="2:7">
      <c r="B32" s="3"/>
      <c r="C32" s="4"/>
      <c r="D32" s="11"/>
      <c r="E32" s="4"/>
    </row>
    <row r="33" spans="2:6">
      <c r="B33" s="169" t="s">
        <v>189</v>
      </c>
      <c r="C33" s="169"/>
      <c r="D33" s="169"/>
      <c r="E33" s="169"/>
    </row>
    <row r="34" spans="2:6" ht="14.5" customHeight="1">
      <c r="B34" s="169"/>
      <c r="C34" s="169"/>
      <c r="D34" s="169"/>
      <c r="E34" s="169"/>
    </row>
    <row r="35" spans="2:6">
      <c r="B35" s="169"/>
      <c r="C35" s="169"/>
      <c r="D35" s="169"/>
      <c r="E35" s="169"/>
    </row>
    <row r="37" spans="2:6">
      <c r="B37" s="150" t="s">
        <v>188</v>
      </c>
      <c r="C37" s="150"/>
      <c r="D37" s="150"/>
      <c r="E37" s="150"/>
      <c r="F37" s="150"/>
    </row>
    <row r="38" spans="2:6">
      <c r="B38" s="42" t="s">
        <v>6</v>
      </c>
      <c r="C38" s="43" t="s">
        <v>7</v>
      </c>
      <c r="D38" s="43" t="s">
        <v>8</v>
      </c>
      <c r="E38" s="43" t="s">
        <v>9</v>
      </c>
      <c r="F38" s="44" t="s">
        <v>175</v>
      </c>
    </row>
    <row r="39" spans="2:6">
      <c r="B39" s="51" t="s">
        <v>18</v>
      </c>
      <c r="C39" s="52" t="s">
        <v>19</v>
      </c>
      <c r="D39" s="52" t="s">
        <v>20</v>
      </c>
      <c r="E39" s="66">
        <v>-0.67</v>
      </c>
      <c r="F39" s="53" t="s">
        <v>171</v>
      </c>
    </row>
    <row r="40" spans="2:6">
      <c r="B40" s="51" t="s">
        <v>23</v>
      </c>
      <c r="C40" s="52">
        <v>15</v>
      </c>
      <c r="D40" s="52">
        <v>5</v>
      </c>
      <c r="E40" s="66">
        <v>-0.67</v>
      </c>
      <c r="F40" s="53" t="s">
        <v>172</v>
      </c>
    </row>
    <row r="41" spans="2:6">
      <c r="B41" s="51" t="s">
        <v>26</v>
      </c>
      <c r="C41" s="54">
        <v>0.44900000000000001</v>
      </c>
      <c r="D41" s="54">
        <v>0.20100000000000001</v>
      </c>
      <c r="E41" s="67" t="s">
        <v>173</v>
      </c>
      <c r="F41" s="53" t="s">
        <v>174</v>
      </c>
    </row>
    <row r="42" spans="2:6">
      <c r="B42" s="55" t="s">
        <v>29</v>
      </c>
      <c r="C42" s="56">
        <v>0.245</v>
      </c>
      <c r="D42" s="56">
        <v>4.8000000000000001E-2</v>
      </c>
      <c r="E42" s="68">
        <v>-0.8</v>
      </c>
      <c r="F42" s="57" t="s">
        <v>176</v>
      </c>
    </row>
  </sheetData>
  <mergeCells count="8">
    <mergeCell ref="B37:F37"/>
    <mergeCell ref="B33:E35"/>
    <mergeCell ref="A1:H1"/>
    <mergeCell ref="A2:H2"/>
    <mergeCell ref="B5:G5"/>
    <mergeCell ref="B15:G15"/>
    <mergeCell ref="B25:E25"/>
    <mergeCell ref="B22:G2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D90B-B6AE-44DC-BE79-6E008EF72E2D}">
  <sheetPr>
    <tabColor theme="8" tint="0.59999389629810485"/>
  </sheetPr>
  <dimension ref="A1:N33"/>
  <sheetViews>
    <sheetView showGridLines="0" zoomScale="81" workbookViewId="0">
      <selection sqref="A1:H2"/>
    </sheetView>
  </sheetViews>
  <sheetFormatPr defaultRowHeight="14.5"/>
  <cols>
    <col min="2" max="2" width="24.36328125" customWidth="1"/>
    <col min="3" max="3" width="11.90625" customWidth="1"/>
    <col min="4" max="6" width="10.90625" customWidth="1"/>
    <col min="7" max="7" width="17.08984375" bestFit="1" customWidth="1"/>
  </cols>
  <sheetData>
    <row r="1" spans="1:14" ht="21" customHeight="1">
      <c r="A1" s="152" t="s">
        <v>192</v>
      </c>
      <c r="B1" s="152"/>
      <c r="C1" s="152"/>
      <c r="D1" s="152"/>
      <c r="E1" s="152"/>
      <c r="F1" s="152"/>
      <c r="G1" s="152"/>
      <c r="H1" s="152"/>
      <c r="I1" s="41"/>
      <c r="J1" s="41"/>
      <c r="K1" s="41"/>
      <c r="L1" s="41"/>
      <c r="M1" s="41"/>
      <c r="N1" s="41"/>
    </row>
    <row r="2" spans="1:14">
      <c r="A2" s="153" t="s">
        <v>221</v>
      </c>
      <c r="B2" s="153"/>
      <c r="C2" s="153"/>
      <c r="D2" s="153"/>
      <c r="E2" s="153"/>
      <c r="F2" s="153"/>
      <c r="G2" s="153"/>
      <c r="H2" s="153"/>
      <c r="I2" s="1"/>
      <c r="J2" s="1"/>
      <c r="K2" s="1"/>
      <c r="L2" s="1"/>
      <c r="M2" s="1"/>
      <c r="N2" s="1"/>
    </row>
    <row r="5" spans="1:14">
      <c r="B5" s="150" t="s">
        <v>220</v>
      </c>
      <c r="C5" s="150"/>
      <c r="D5" s="150"/>
      <c r="E5" s="150"/>
      <c r="F5" s="150"/>
      <c r="G5" s="150"/>
    </row>
    <row r="6" spans="1:14">
      <c r="B6" s="42" t="s">
        <v>193</v>
      </c>
      <c r="C6" s="43" t="s">
        <v>194</v>
      </c>
      <c r="D6" s="43" t="s">
        <v>195</v>
      </c>
      <c r="E6" s="43" t="s">
        <v>196</v>
      </c>
      <c r="F6" s="43" t="s">
        <v>197</v>
      </c>
      <c r="G6" s="44" t="s">
        <v>198</v>
      </c>
    </row>
    <row r="7" spans="1:14">
      <c r="B7" s="76">
        <v>44927</v>
      </c>
      <c r="C7" s="65">
        <v>333</v>
      </c>
      <c r="D7" s="70">
        <v>0.34200000000000003</v>
      </c>
      <c r="E7" s="70">
        <v>0.36599999999999999</v>
      </c>
      <c r="F7" s="70">
        <v>0.26400000000000001</v>
      </c>
      <c r="G7" s="71" t="s">
        <v>199</v>
      </c>
    </row>
    <row r="8" spans="1:14">
      <c r="B8" s="76">
        <v>44958</v>
      </c>
      <c r="C8" s="65">
        <v>373</v>
      </c>
      <c r="D8" s="70">
        <v>0.35899999999999999</v>
      </c>
      <c r="E8" s="70">
        <v>0.31900000000000001</v>
      </c>
      <c r="F8" s="70">
        <v>0.23599999999999999</v>
      </c>
      <c r="G8" s="71" t="s">
        <v>200</v>
      </c>
    </row>
    <row r="9" spans="1:14">
      <c r="B9" s="77">
        <v>44986</v>
      </c>
      <c r="C9" s="52">
        <v>376</v>
      </c>
      <c r="D9" s="54">
        <v>0.35599999999999998</v>
      </c>
      <c r="E9" s="54">
        <v>0.32400000000000001</v>
      </c>
      <c r="F9" s="54">
        <v>0.221</v>
      </c>
      <c r="G9" s="53" t="s">
        <v>201</v>
      </c>
    </row>
    <row r="10" spans="1:14">
      <c r="B10" s="77">
        <v>45017</v>
      </c>
      <c r="C10" s="52">
        <v>398</v>
      </c>
      <c r="D10" s="54">
        <v>0.42699999999999999</v>
      </c>
      <c r="E10" s="54">
        <v>0.34699999999999998</v>
      </c>
      <c r="F10" s="54">
        <v>0.25900000000000001</v>
      </c>
      <c r="G10" s="53" t="s">
        <v>202</v>
      </c>
    </row>
    <row r="11" spans="1:14">
      <c r="B11" s="77">
        <v>45047</v>
      </c>
      <c r="C11" s="52">
        <v>377</v>
      </c>
      <c r="D11" s="54">
        <v>0.38500000000000001</v>
      </c>
      <c r="E11" s="54">
        <v>0.38700000000000001</v>
      </c>
      <c r="F11" s="54">
        <v>0.26300000000000001</v>
      </c>
      <c r="G11" s="53" t="s">
        <v>203</v>
      </c>
    </row>
    <row r="12" spans="1:14">
      <c r="B12" s="78">
        <v>45078</v>
      </c>
      <c r="C12" s="79">
        <v>371</v>
      </c>
      <c r="D12" s="80">
        <v>0.41199999999999998</v>
      </c>
      <c r="E12" s="80">
        <v>0.40699999999999997</v>
      </c>
      <c r="F12" s="80">
        <v>0.25900000000000001</v>
      </c>
      <c r="G12" s="81" t="s">
        <v>204</v>
      </c>
    </row>
    <row r="13" spans="1:14">
      <c r="B13" s="77">
        <v>45108</v>
      </c>
      <c r="C13" s="52">
        <v>390</v>
      </c>
      <c r="D13" s="54">
        <v>0.372</v>
      </c>
      <c r="E13" s="54">
        <v>0.36399999999999999</v>
      </c>
      <c r="F13" s="54">
        <v>0.249</v>
      </c>
      <c r="G13" s="53" t="s">
        <v>205</v>
      </c>
    </row>
    <row r="14" spans="1:14">
      <c r="B14" s="77">
        <v>45139</v>
      </c>
      <c r="C14" s="52">
        <v>414</v>
      </c>
      <c r="D14" s="54">
        <v>0.41299999999999998</v>
      </c>
      <c r="E14" s="54">
        <v>0.372</v>
      </c>
      <c r="F14" s="54">
        <v>0.246</v>
      </c>
      <c r="G14" s="53" t="s">
        <v>205</v>
      </c>
    </row>
    <row r="15" spans="1:14">
      <c r="B15" s="77">
        <v>45170</v>
      </c>
      <c r="C15" s="52">
        <v>375</v>
      </c>
      <c r="D15" s="54">
        <v>0.38700000000000001</v>
      </c>
      <c r="E15" s="54">
        <v>0.38100000000000001</v>
      </c>
      <c r="F15" s="54">
        <v>0.27500000000000002</v>
      </c>
      <c r="G15" s="53" t="s">
        <v>205</v>
      </c>
    </row>
    <row r="16" spans="1:14">
      <c r="B16" s="77">
        <v>45200</v>
      </c>
      <c r="C16" s="52">
        <v>380</v>
      </c>
      <c r="D16" s="54">
        <v>0.374</v>
      </c>
      <c r="E16" s="54">
        <v>0.36299999999999999</v>
      </c>
      <c r="F16" s="54">
        <v>0.247</v>
      </c>
      <c r="G16" s="53" t="s">
        <v>205</v>
      </c>
    </row>
    <row r="17" spans="2:7">
      <c r="B17" s="77">
        <v>45231</v>
      </c>
      <c r="C17" s="52">
        <v>390</v>
      </c>
      <c r="D17" s="54">
        <v>0.39500000000000002</v>
      </c>
      <c r="E17" s="54">
        <v>0.39</v>
      </c>
      <c r="F17" s="54">
        <v>0.254</v>
      </c>
      <c r="G17" s="53" t="s">
        <v>205</v>
      </c>
    </row>
    <row r="18" spans="2:7">
      <c r="B18" s="77">
        <v>45261</v>
      </c>
      <c r="C18" s="52">
        <v>415</v>
      </c>
      <c r="D18" s="54">
        <v>0.41</v>
      </c>
      <c r="E18" s="54">
        <v>0.30599999999999999</v>
      </c>
      <c r="F18" s="54">
        <v>0.224</v>
      </c>
      <c r="G18" s="53" t="s">
        <v>206</v>
      </c>
    </row>
    <row r="19" spans="2:7">
      <c r="B19" s="78">
        <v>45292</v>
      </c>
      <c r="C19" s="79">
        <v>353</v>
      </c>
      <c r="D19" s="80">
        <v>0.36</v>
      </c>
      <c r="E19" s="80">
        <v>0.42199999999999999</v>
      </c>
      <c r="F19" s="79" t="s">
        <v>207</v>
      </c>
      <c r="G19" s="81" t="s">
        <v>208</v>
      </c>
    </row>
    <row r="20" spans="2:7">
      <c r="B20" s="82">
        <v>45323</v>
      </c>
      <c r="C20" s="61">
        <v>55</v>
      </c>
      <c r="D20" s="62">
        <v>0.47299999999999998</v>
      </c>
      <c r="E20" s="61" t="s">
        <v>207</v>
      </c>
      <c r="F20" s="61" t="s">
        <v>207</v>
      </c>
      <c r="G20" s="83" t="s">
        <v>209</v>
      </c>
    </row>
    <row r="23" spans="2:7">
      <c r="B23" s="178" t="s">
        <v>219</v>
      </c>
      <c r="C23" s="178"/>
      <c r="D23" s="178"/>
      <c r="E23" s="178"/>
      <c r="F23" s="178"/>
      <c r="G23" s="178"/>
    </row>
    <row r="24" spans="2:7">
      <c r="B24" s="175" t="s">
        <v>211</v>
      </c>
      <c r="C24" s="171" t="s">
        <v>210</v>
      </c>
      <c r="D24" s="177"/>
      <c r="E24" s="177"/>
      <c r="F24" s="177"/>
      <c r="G24" s="177"/>
    </row>
    <row r="25" spans="2:7">
      <c r="B25" s="175"/>
      <c r="C25" s="177"/>
      <c r="D25" s="177"/>
      <c r="E25" s="177"/>
      <c r="F25" s="177"/>
      <c r="G25" s="177"/>
    </row>
    <row r="26" spans="2:7">
      <c r="B26" s="175" t="s">
        <v>213</v>
      </c>
      <c r="C26" s="171" t="s">
        <v>212</v>
      </c>
      <c r="D26" s="172"/>
      <c r="E26" s="172"/>
      <c r="F26" s="172"/>
      <c r="G26" s="172"/>
    </row>
    <row r="27" spans="2:7">
      <c r="B27" s="175"/>
      <c r="C27" s="172"/>
      <c r="D27" s="172"/>
      <c r="E27" s="172"/>
      <c r="F27" s="172"/>
      <c r="G27" s="172"/>
    </row>
    <row r="28" spans="2:7">
      <c r="B28" s="175" t="s">
        <v>215</v>
      </c>
      <c r="C28" s="171" t="s">
        <v>214</v>
      </c>
      <c r="D28" s="172"/>
      <c r="E28" s="172"/>
      <c r="F28" s="172"/>
      <c r="G28" s="172"/>
    </row>
    <row r="29" spans="2:7">
      <c r="B29" s="175"/>
      <c r="C29" s="172"/>
      <c r="D29" s="172"/>
      <c r="E29" s="172"/>
      <c r="F29" s="172"/>
      <c r="G29" s="172"/>
    </row>
    <row r="30" spans="2:7">
      <c r="B30" s="176">
        <v>45323</v>
      </c>
      <c r="C30" s="173" t="s">
        <v>218</v>
      </c>
      <c r="D30" s="174"/>
      <c r="E30" s="174"/>
      <c r="F30" s="174"/>
      <c r="G30" s="174"/>
    </row>
    <row r="31" spans="2:7">
      <c r="B31" s="176"/>
      <c r="C31" s="174"/>
      <c r="D31" s="174"/>
      <c r="E31" s="174"/>
      <c r="F31" s="174"/>
      <c r="G31" s="174"/>
    </row>
    <row r="32" spans="2:7">
      <c r="B32" s="175" t="s">
        <v>217</v>
      </c>
      <c r="C32" s="171" t="s">
        <v>216</v>
      </c>
      <c r="D32" s="172"/>
      <c r="E32" s="172"/>
      <c r="F32" s="172"/>
      <c r="G32" s="172"/>
    </row>
    <row r="33" spans="2:7">
      <c r="B33" s="175"/>
      <c r="C33" s="172"/>
      <c r="D33" s="172"/>
      <c r="E33" s="172"/>
      <c r="F33" s="172"/>
      <c r="G33" s="172"/>
    </row>
  </sheetData>
  <mergeCells count="14">
    <mergeCell ref="B23:G23"/>
    <mergeCell ref="B5:G5"/>
    <mergeCell ref="A1:H1"/>
    <mergeCell ref="A2:H2"/>
    <mergeCell ref="C28:G29"/>
    <mergeCell ref="C30:G31"/>
    <mergeCell ref="C32:G33"/>
    <mergeCell ref="B24:B25"/>
    <mergeCell ref="B26:B27"/>
    <mergeCell ref="B28:B29"/>
    <mergeCell ref="B30:B31"/>
    <mergeCell ref="B32:B33"/>
    <mergeCell ref="C24:G25"/>
    <mergeCell ref="C26:G27"/>
  </mergeCells>
  <conditionalFormatting sqref="D7:F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BD2B-EEB7-49F8-A7E0-BC79E7DC7B11}">
  <sheetPr>
    <tabColor theme="9" tint="0.59999389629810485"/>
  </sheetPr>
  <dimension ref="A1:I34"/>
  <sheetViews>
    <sheetView showGridLines="0" zoomScale="55" zoomScaleNormal="85" workbookViewId="0">
      <selection sqref="A1:I2"/>
    </sheetView>
  </sheetViews>
  <sheetFormatPr defaultRowHeight="14.5"/>
  <cols>
    <col min="2" max="2" width="35" customWidth="1"/>
    <col min="3" max="3" width="11.81640625" customWidth="1"/>
    <col min="4" max="4" width="15.81640625" customWidth="1"/>
    <col min="5" max="5" width="51.6328125" customWidth="1"/>
    <col min="6" max="6" width="34.08984375" customWidth="1"/>
    <col min="7" max="7" width="18.54296875" customWidth="1"/>
    <col min="8" max="8" width="26.54296875" customWidth="1"/>
  </cols>
  <sheetData>
    <row r="1" spans="1:9" ht="21">
      <c r="A1" s="152" t="s">
        <v>192</v>
      </c>
      <c r="B1" s="152"/>
      <c r="C1" s="152"/>
      <c r="D1" s="152"/>
      <c r="E1" s="152"/>
      <c r="F1" s="152"/>
      <c r="G1" s="152"/>
      <c r="H1" s="152"/>
      <c r="I1" s="152"/>
    </row>
    <row r="2" spans="1:9">
      <c r="A2" s="153" t="s">
        <v>285</v>
      </c>
      <c r="B2" s="153"/>
      <c r="C2" s="153"/>
      <c r="D2" s="153"/>
      <c r="E2" s="153"/>
      <c r="F2" s="153"/>
      <c r="G2" s="153"/>
      <c r="H2" s="153"/>
      <c r="I2" s="153"/>
    </row>
    <row r="6" spans="1:9">
      <c r="B6" s="150" t="s">
        <v>282</v>
      </c>
      <c r="C6" s="150"/>
      <c r="D6" s="150"/>
      <c r="E6" s="150"/>
      <c r="F6" s="150"/>
      <c r="G6" s="150"/>
      <c r="H6" s="150"/>
    </row>
    <row r="7" spans="1:9" ht="15.5" customHeight="1">
      <c r="B7" s="42" t="s">
        <v>222</v>
      </c>
      <c r="C7" s="43" t="s">
        <v>33</v>
      </c>
      <c r="D7" s="43" t="s">
        <v>223</v>
      </c>
      <c r="E7" s="43" t="s">
        <v>224</v>
      </c>
      <c r="F7" s="43" t="s">
        <v>225</v>
      </c>
      <c r="G7" s="43" t="s">
        <v>226</v>
      </c>
      <c r="H7" s="44" t="s">
        <v>227</v>
      </c>
    </row>
    <row r="8" spans="1:9">
      <c r="B8" s="96" t="s">
        <v>228</v>
      </c>
      <c r="C8" s="97">
        <v>511</v>
      </c>
      <c r="D8" s="98">
        <v>0.10199999999999999</v>
      </c>
      <c r="E8" s="99">
        <v>4621</v>
      </c>
      <c r="F8" s="97">
        <v>5.2</v>
      </c>
      <c r="G8" s="97">
        <v>39</v>
      </c>
      <c r="H8" s="100" t="s">
        <v>229</v>
      </c>
    </row>
    <row r="9" spans="1:9">
      <c r="B9" s="101" t="s">
        <v>230</v>
      </c>
      <c r="C9" s="102">
        <v>1039</v>
      </c>
      <c r="D9" s="103">
        <v>0.20799999999999999</v>
      </c>
      <c r="E9" s="104">
        <v>3184</v>
      </c>
      <c r="F9" s="105">
        <v>3.6</v>
      </c>
      <c r="G9" s="105">
        <v>108</v>
      </c>
      <c r="H9" s="106" t="s">
        <v>231</v>
      </c>
    </row>
    <row r="10" spans="1:9">
      <c r="B10" s="107" t="s">
        <v>232</v>
      </c>
      <c r="C10" s="108">
        <v>950</v>
      </c>
      <c r="D10" s="109">
        <v>0.19</v>
      </c>
      <c r="E10" s="110">
        <v>3020</v>
      </c>
      <c r="F10" s="108">
        <v>3.5</v>
      </c>
      <c r="G10" s="108">
        <v>283</v>
      </c>
      <c r="H10" s="111" t="s">
        <v>233</v>
      </c>
    </row>
    <row r="11" spans="1:9">
      <c r="B11" s="112" t="s">
        <v>234</v>
      </c>
      <c r="C11" s="113">
        <v>354</v>
      </c>
      <c r="D11" s="114">
        <v>7.0999999999999994E-2</v>
      </c>
      <c r="E11" s="115">
        <v>1378</v>
      </c>
      <c r="F11" s="113">
        <v>1.5</v>
      </c>
      <c r="G11" s="113">
        <v>63</v>
      </c>
      <c r="H11" s="116" t="s">
        <v>235</v>
      </c>
    </row>
    <row r="12" spans="1:9">
      <c r="B12" s="117" t="s">
        <v>236</v>
      </c>
      <c r="C12" s="118">
        <v>600</v>
      </c>
      <c r="D12" s="119">
        <v>0.12</v>
      </c>
      <c r="E12" s="120">
        <v>1038</v>
      </c>
      <c r="F12" s="118">
        <v>1.2</v>
      </c>
      <c r="G12" s="118">
        <v>147</v>
      </c>
      <c r="H12" s="121" t="s">
        <v>237</v>
      </c>
    </row>
    <row r="13" spans="1:9">
      <c r="B13" s="122" t="s">
        <v>238</v>
      </c>
      <c r="C13" s="123">
        <v>1546</v>
      </c>
      <c r="D13" s="124">
        <v>0.309</v>
      </c>
      <c r="E13" s="125">
        <v>1090</v>
      </c>
      <c r="F13" s="126">
        <v>1.2</v>
      </c>
      <c r="G13" s="126">
        <v>320</v>
      </c>
      <c r="H13" s="127" t="s">
        <v>239</v>
      </c>
    </row>
    <row r="16" spans="1:9">
      <c r="B16" s="150" t="s">
        <v>283</v>
      </c>
      <c r="C16" s="150"/>
      <c r="D16" s="150"/>
      <c r="E16" s="150"/>
      <c r="F16" s="150"/>
      <c r="G16" s="150"/>
      <c r="H16" s="150"/>
    </row>
    <row r="17" spans="2:8" ht="18.5" customHeight="1">
      <c r="B17" s="42" t="s">
        <v>222</v>
      </c>
      <c r="C17" s="43" t="s">
        <v>33</v>
      </c>
      <c r="D17" s="43" t="s">
        <v>240</v>
      </c>
      <c r="E17" s="43" t="s">
        <v>241</v>
      </c>
      <c r="F17" s="43" t="s">
        <v>226</v>
      </c>
      <c r="G17" s="43" t="s">
        <v>242</v>
      </c>
      <c r="H17" s="44" t="s">
        <v>158</v>
      </c>
    </row>
    <row r="18" spans="2:8">
      <c r="B18" s="51" t="s">
        <v>230</v>
      </c>
      <c r="C18" s="128">
        <v>1039</v>
      </c>
      <c r="D18" s="59">
        <v>3308520</v>
      </c>
      <c r="E18" s="59">
        <v>3184</v>
      </c>
      <c r="F18" s="52">
        <v>108</v>
      </c>
      <c r="G18" s="52" t="s">
        <v>243</v>
      </c>
      <c r="H18" s="53" t="s">
        <v>244</v>
      </c>
    </row>
    <row r="19" spans="2:8">
      <c r="B19" s="69" t="s">
        <v>232</v>
      </c>
      <c r="C19" s="65">
        <v>950</v>
      </c>
      <c r="D19" s="95">
        <v>2868680</v>
      </c>
      <c r="E19" s="95">
        <v>3020</v>
      </c>
      <c r="F19" s="65">
        <v>283</v>
      </c>
      <c r="G19" s="65" t="s">
        <v>245</v>
      </c>
      <c r="H19" s="71" t="s">
        <v>246</v>
      </c>
    </row>
    <row r="20" spans="2:8">
      <c r="B20" s="51" t="s">
        <v>228</v>
      </c>
      <c r="C20" s="52">
        <v>511</v>
      </c>
      <c r="D20" s="59">
        <v>2361360</v>
      </c>
      <c r="E20" s="59">
        <v>4621</v>
      </c>
      <c r="F20" s="52">
        <v>39</v>
      </c>
      <c r="G20" s="52" t="s">
        <v>247</v>
      </c>
      <c r="H20" s="53" t="s">
        <v>248</v>
      </c>
    </row>
    <row r="21" spans="2:8">
      <c r="B21" s="55" t="s">
        <v>238</v>
      </c>
      <c r="C21" s="129">
        <v>1546</v>
      </c>
      <c r="D21" s="130">
        <v>1685350</v>
      </c>
      <c r="E21" s="130">
        <v>1090</v>
      </c>
      <c r="F21" s="58">
        <v>320</v>
      </c>
      <c r="G21" s="58" t="s">
        <v>249</v>
      </c>
      <c r="H21" s="57" t="s">
        <v>250</v>
      </c>
    </row>
    <row r="24" spans="2:8">
      <c r="B24" s="150" t="s">
        <v>284</v>
      </c>
      <c r="C24" s="150"/>
      <c r="D24" s="150"/>
      <c r="E24" s="150"/>
      <c r="F24" s="150"/>
      <c r="G24" s="150"/>
    </row>
    <row r="25" spans="2:8" ht="18.5" customHeight="1">
      <c r="B25" s="42" t="s">
        <v>222</v>
      </c>
      <c r="C25" s="43" t="s">
        <v>242</v>
      </c>
      <c r="D25" s="43" t="s">
        <v>251</v>
      </c>
      <c r="E25" s="43" t="s">
        <v>252</v>
      </c>
      <c r="F25" s="43" t="s">
        <v>253</v>
      </c>
      <c r="G25" s="44" t="s">
        <v>254</v>
      </c>
    </row>
    <row r="26" spans="2:8" ht="17.5" customHeight="1">
      <c r="B26" s="87" t="s">
        <v>232</v>
      </c>
      <c r="C26" s="25" t="s">
        <v>255</v>
      </c>
      <c r="D26" s="6" t="s">
        <v>256</v>
      </c>
      <c r="E26" s="6" t="s">
        <v>257</v>
      </c>
      <c r="F26" s="6" t="s">
        <v>258</v>
      </c>
      <c r="G26" s="84" t="s">
        <v>259</v>
      </c>
    </row>
    <row r="27" spans="2:8">
      <c r="B27" s="94" t="s">
        <v>234</v>
      </c>
      <c r="C27" s="88" t="s">
        <v>249</v>
      </c>
      <c r="D27" s="6" t="s">
        <v>260</v>
      </c>
      <c r="E27" s="6" t="s">
        <v>261</v>
      </c>
      <c r="F27" s="6" t="s">
        <v>262</v>
      </c>
      <c r="G27" s="84" t="s">
        <v>263</v>
      </c>
    </row>
    <row r="28" spans="2:8">
      <c r="B28" s="94" t="s">
        <v>238</v>
      </c>
      <c r="C28" s="88" t="s">
        <v>249</v>
      </c>
      <c r="D28" s="6" t="s">
        <v>264</v>
      </c>
      <c r="E28" s="6" t="s">
        <v>265</v>
      </c>
      <c r="F28" s="6" t="s">
        <v>266</v>
      </c>
      <c r="G28" s="84" t="s">
        <v>267</v>
      </c>
    </row>
    <row r="29" spans="2:8">
      <c r="B29" s="92" t="s">
        <v>230</v>
      </c>
      <c r="C29" s="89" t="s">
        <v>243</v>
      </c>
      <c r="D29" s="6" t="s">
        <v>268</v>
      </c>
      <c r="E29" s="6" t="s">
        <v>269</v>
      </c>
      <c r="F29" s="6" t="s">
        <v>270</v>
      </c>
      <c r="G29" s="84" t="s">
        <v>271</v>
      </c>
    </row>
    <row r="30" spans="2:8" ht="14.5" customHeight="1">
      <c r="B30" s="91" t="s">
        <v>228</v>
      </c>
      <c r="C30" s="27" t="s">
        <v>247</v>
      </c>
      <c r="D30" s="6" t="s">
        <v>272</v>
      </c>
      <c r="E30" s="6" t="s">
        <v>273</v>
      </c>
      <c r="F30" s="6" t="s">
        <v>274</v>
      </c>
      <c r="G30" s="84" t="s">
        <v>275</v>
      </c>
    </row>
    <row r="31" spans="2:8">
      <c r="B31" s="93" t="s">
        <v>236</v>
      </c>
      <c r="C31" s="90" t="s">
        <v>276</v>
      </c>
      <c r="D31" s="85" t="s">
        <v>277</v>
      </c>
      <c r="E31" s="85" t="s">
        <v>278</v>
      </c>
      <c r="F31" s="85" t="s">
        <v>279</v>
      </c>
      <c r="G31" s="86" t="s">
        <v>280</v>
      </c>
    </row>
    <row r="33" spans="2:7">
      <c r="B33" s="179" t="s">
        <v>281</v>
      </c>
      <c r="C33" s="179"/>
      <c r="D33" s="179"/>
      <c r="E33" s="179"/>
      <c r="F33" s="179"/>
      <c r="G33" s="179"/>
    </row>
    <row r="34" spans="2:7">
      <c r="B34" s="179"/>
      <c r="C34" s="179"/>
      <c r="D34" s="179"/>
      <c r="E34" s="179"/>
      <c r="F34" s="179"/>
      <c r="G34" s="179"/>
    </row>
  </sheetData>
  <mergeCells count="6">
    <mergeCell ref="B33:G34"/>
    <mergeCell ref="A1:I1"/>
    <mergeCell ref="A2:I2"/>
    <mergeCell ref="B6:H6"/>
    <mergeCell ref="B16:H16"/>
    <mergeCell ref="B24:G24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0AD8-60F5-47E5-AC56-4F7587684F0A}">
  <sheetPr>
    <tabColor theme="2" tint="-0.249977111117893"/>
  </sheetPr>
  <dimension ref="A1:K43"/>
  <sheetViews>
    <sheetView showGridLines="0" tabSelected="1" zoomScale="56" zoomScaleNormal="100" workbookViewId="0">
      <selection activeCell="L12" sqref="L12"/>
    </sheetView>
  </sheetViews>
  <sheetFormatPr defaultRowHeight="14.5"/>
  <cols>
    <col min="2" max="2" width="28.6328125" customWidth="1"/>
    <col min="4" max="4" width="49.81640625" bestFit="1" customWidth="1"/>
    <col min="5" max="5" width="18.36328125" customWidth="1"/>
    <col min="6" max="6" width="54.08984375" bestFit="1" customWidth="1"/>
    <col min="7" max="7" width="12.08984375" customWidth="1"/>
    <col min="8" max="8" width="51.54296875" customWidth="1"/>
  </cols>
  <sheetData>
    <row r="1" spans="1:11" ht="21">
      <c r="A1" s="152" t="s">
        <v>362</v>
      </c>
      <c r="B1" s="152"/>
      <c r="C1" s="152"/>
      <c r="D1" s="152"/>
      <c r="E1" s="152"/>
      <c r="F1" s="152"/>
      <c r="G1" s="152"/>
      <c r="H1" s="152"/>
      <c r="I1" s="152"/>
    </row>
    <row r="2" spans="1:11">
      <c r="A2" s="153" t="s">
        <v>363</v>
      </c>
      <c r="B2" s="153"/>
      <c r="C2" s="153"/>
      <c r="D2" s="153"/>
      <c r="E2" s="153"/>
      <c r="F2" s="153"/>
      <c r="G2" s="153"/>
      <c r="H2" s="153"/>
      <c r="I2" s="153"/>
    </row>
    <row r="5" spans="1:11">
      <c r="B5" s="150" t="s">
        <v>354</v>
      </c>
      <c r="C5" s="150"/>
      <c r="D5" s="150"/>
      <c r="E5" s="150"/>
      <c r="F5" s="150"/>
      <c r="G5" s="150"/>
      <c r="H5" s="150"/>
    </row>
    <row r="6" spans="1:11" ht="14.5" customHeight="1">
      <c r="B6" s="154" t="s">
        <v>286</v>
      </c>
      <c r="C6" s="154"/>
      <c r="D6" s="154"/>
      <c r="E6" s="154"/>
      <c r="F6" s="154"/>
      <c r="G6" s="154"/>
      <c r="H6" s="154"/>
      <c r="I6" s="132"/>
      <c r="J6" s="132"/>
      <c r="K6" s="132"/>
    </row>
    <row r="7" spans="1:11">
      <c r="B7" s="154"/>
      <c r="C7" s="154"/>
      <c r="D7" s="154"/>
      <c r="E7" s="154"/>
      <c r="F7" s="154"/>
      <c r="G7" s="154"/>
      <c r="H7" s="154"/>
      <c r="I7" s="132"/>
      <c r="J7" s="132"/>
      <c r="K7" s="132"/>
    </row>
    <row r="8" spans="1:11">
      <c r="B8" s="154"/>
      <c r="C8" s="154"/>
      <c r="D8" s="154"/>
      <c r="E8" s="154"/>
      <c r="F8" s="154"/>
      <c r="G8" s="154"/>
      <c r="H8" s="154"/>
      <c r="I8" s="132"/>
      <c r="J8" s="132"/>
      <c r="K8" s="132"/>
    </row>
    <row r="9" spans="1:11">
      <c r="B9" s="132"/>
      <c r="C9" s="132"/>
      <c r="D9" s="132"/>
      <c r="E9" s="132"/>
      <c r="F9" s="132"/>
      <c r="G9" s="132"/>
      <c r="H9" s="132"/>
      <c r="I9" s="132"/>
      <c r="J9" s="132"/>
      <c r="K9" s="132"/>
    </row>
    <row r="10" spans="1:11">
      <c r="B10" s="132"/>
      <c r="C10" s="132"/>
      <c r="D10" s="132"/>
      <c r="E10" s="132"/>
      <c r="F10" s="132"/>
      <c r="G10" s="132"/>
      <c r="H10" s="132"/>
      <c r="I10" s="132"/>
      <c r="J10" s="132"/>
      <c r="K10" s="132"/>
    </row>
    <row r="12" spans="1:11">
      <c r="F12" s="2"/>
      <c r="G12" s="2"/>
      <c r="H12" s="2"/>
      <c r="I12" s="2"/>
      <c r="J12" s="2"/>
    </row>
    <row r="13" spans="1:11">
      <c r="B13" s="131" t="s">
        <v>361</v>
      </c>
      <c r="D13" s="142" t="s">
        <v>358</v>
      </c>
      <c r="F13" s="143" t="s">
        <v>359</v>
      </c>
      <c r="G13" s="3"/>
      <c r="H13" s="144" t="s">
        <v>360</v>
      </c>
      <c r="I13" s="3"/>
      <c r="J13" s="3"/>
    </row>
    <row r="14" spans="1:11">
      <c r="B14" s="148" t="s">
        <v>287</v>
      </c>
      <c r="C14" s="3"/>
      <c r="D14" s="145" t="s">
        <v>292</v>
      </c>
      <c r="E14" s="3"/>
      <c r="F14" s="146" t="s">
        <v>293</v>
      </c>
      <c r="G14" s="3"/>
      <c r="H14" s="147" t="s">
        <v>302</v>
      </c>
      <c r="I14" s="3"/>
      <c r="J14" s="3"/>
    </row>
    <row r="15" spans="1:11">
      <c r="B15" s="148" t="s">
        <v>288</v>
      </c>
      <c r="C15" s="3"/>
      <c r="D15" s="138" t="s">
        <v>294</v>
      </c>
      <c r="E15" s="3"/>
      <c r="F15" s="140" t="s">
        <v>298</v>
      </c>
      <c r="G15" s="3"/>
      <c r="H15" s="141" t="s">
        <v>303</v>
      </c>
      <c r="I15" s="3"/>
      <c r="J15" s="3"/>
    </row>
    <row r="16" spans="1:11" ht="29">
      <c r="B16" s="148" t="s">
        <v>289</v>
      </c>
      <c r="C16" s="3"/>
      <c r="D16" s="139" t="s">
        <v>295</v>
      </c>
      <c r="E16" s="4"/>
      <c r="F16" s="140" t="s">
        <v>299</v>
      </c>
      <c r="G16" s="3"/>
      <c r="H16" s="141" t="s">
        <v>304</v>
      </c>
      <c r="I16" s="3"/>
      <c r="J16" s="3"/>
    </row>
    <row r="17" spans="2:10">
      <c r="B17" s="148" t="s">
        <v>290</v>
      </c>
      <c r="C17" s="3"/>
      <c r="D17" s="138" t="s">
        <v>296</v>
      </c>
      <c r="E17" s="3"/>
      <c r="F17" s="140" t="s">
        <v>300</v>
      </c>
      <c r="G17" s="3"/>
      <c r="H17" s="141" t="s">
        <v>305</v>
      </c>
      <c r="I17" s="3"/>
      <c r="J17" s="3"/>
    </row>
    <row r="18" spans="2:10" ht="29">
      <c r="B18" s="148" t="s">
        <v>291</v>
      </c>
      <c r="C18" s="3"/>
      <c r="D18" s="138" t="s">
        <v>297</v>
      </c>
      <c r="E18" s="3"/>
      <c r="F18" s="140" t="s">
        <v>301</v>
      </c>
      <c r="G18" s="3"/>
      <c r="H18" s="141" t="s">
        <v>306</v>
      </c>
      <c r="I18" s="3"/>
      <c r="J18" s="3"/>
    </row>
    <row r="21" spans="2:10">
      <c r="B21" s="149" t="s">
        <v>355</v>
      </c>
      <c r="C21" s="149"/>
      <c r="D21" s="149"/>
      <c r="E21" s="149"/>
      <c r="F21" s="149"/>
      <c r="G21" s="149"/>
      <c r="H21" s="149"/>
    </row>
    <row r="22" spans="2:10">
      <c r="B22" s="42" t="s">
        <v>307</v>
      </c>
      <c r="C22" s="43" t="s">
        <v>308</v>
      </c>
      <c r="D22" s="43" t="s">
        <v>309</v>
      </c>
      <c r="E22" s="43" t="s">
        <v>310</v>
      </c>
      <c r="F22" s="43" t="s">
        <v>311</v>
      </c>
      <c r="G22" s="43" t="s">
        <v>312</v>
      </c>
      <c r="H22" s="44" t="s">
        <v>34</v>
      </c>
    </row>
    <row r="23" spans="2:10">
      <c r="B23" s="51" t="s">
        <v>313</v>
      </c>
      <c r="C23" s="52">
        <v>9</v>
      </c>
      <c r="D23" s="52">
        <v>8</v>
      </c>
      <c r="E23" s="133">
        <v>0.9</v>
      </c>
      <c r="F23" s="52">
        <v>1</v>
      </c>
      <c r="G23" s="52">
        <v>648</v>
      </c>
      <c r="H23" s="135" t="s">
        <v>37</v>
      </c>
    </row>
    <row r="24" spans="2:10">
      <c r="B24" s="51" t="s">
        <v>314</v>
      </c>
      <c r="C24" s="52">
        <v>9</v>
      </c>
      <c r="D24" s="52">
        <v>7</v>
      </c>
      <c r="E24" s="133">
        <v>0.9</v>
      </c>
      <c r="F24" s="52">
        <v>1</v>
      </c>
      <c r="G24" s="52">
        <v>567</v>
      </c>
      <c r="H24" s="135" t="s">
        <v>37</v>
      </c>
    </row>
    <row r="25" spans="2:10">
      <c r="B25" s="51" t="s">
        <v>315</v>
      </c>
      <c r="C25" s="52">
        <v>8</v>
      </c>
      <c r="D25" s="52">
        <v>7</v>
      </c>
      <c r="E25" s="133">
        <v>0.8</v>
      </c>
      <c r="F25" s="52">
        <v>2</v>
      </c>
      <c r="G25" s="52">
        <v>224</v>
      </c>
      <c r="H25" s="135" t="s">
        <v>37</v>
      </c>
    </row>
    <row r="26" spans="2:10">
      <c r="B26" s="51" t="s">
        <v>316</v>
      </c>
      <c r="C26" s="52">
        <v>5</v>
      </c>
      <c r="D26" s="52">
        <v>9</v>
      </c>
      <c r="E26" s="133">
        <v>0.85</v>
      </c>
      <c r="F26" s="52">
        <v>2</v>
      </c>
      <c r="G26" s="52">
        <v>191</v>
      </c>
      <c r="H26" s="135" t="s">
        <v>37</v>
      </c>
    </row>
    <row r="27" spans="2:10">
      <c r="B27" s="51" t="s">
        <v>317</v>
      </c>
      <c r="C27" s="52">
        <v>6</v>
      </c>
      <c r="D27" s="52">
        <v>9</v>
      </c>
      <c r="E27" s="133">
        <v>0.85</v>
      </c>
      <c r="F27" s="52">
        <v>2</v>
      </c>
      <c r="G27" s="52">
        <v>191</v>
      </c>
      <c r="H27" s="136" t="s">
        <v>43</v>
      </c>
    </row>
    <row r="28" spans="2:10">
      <c r="B28" s="51" t="s">
        <v>318</v>
      </c>
      <c r="C28" s="52">
        <v>8</v>
      </c>
      <c r="D28" s="52">
        <v>6</v>
      </c>
      <c r="E28" s="133">
        <v>0.75</v>
      </c>
      <c r="F28" s="52">
        <v>2</v>
      </c>
      <c r="G28" s="52">
        <v>180</v>
      </c>
      <c r="H28" s="136" t="s">
        <v>43</v>
      </c>
    </row>
    <row r="29" spans="2:10">
      <c r="B29" s="51" t="s">
        <v>319</v>
      </c>
      <c r="C29" s="52">
        <v>9</v>
      </c>
      <c r="D29" s="52">
        <v>8</v>
      </c>
      <c r="E29" s="133">
        <v>0.85</v>
      </c>
      <c r="F29" s="52">
        <v>3</v>
      </c>
      <c r="G29" s="52">
        <v>204</v>
      </c>
      <c r="H29" s="136" t="s">
        <v>43</v>
      </c>
    </row>
    <row r="30" spans="2:10">
      <c r="B30" s="51" t="s">
        <v>320</v>
      </c>
      <c r="C30" s="52">
        <v>7</v>
      </c>
      <c r="D30" s="52">
        <v>6</v>
      </c>
      <c r="E30" s="133">
        <v>0.7</v>
      </c>
      <c r="F30" s="52">
        <v>3</v>
      </c>
      <c r="G30" s="52">
        <v>98</v>
      </c>
      <c r="H30" s="136" t="s">
        <v>43</v>
      </c>
    </row>
    <row r="31" spans="2:10">
      <c r="B31" s="51" t="s">
        <v>321</v>
      </c>
      <c r="C31" s="52">
        <v>8</v>
      </c>
      <c r="D31" s="52">
        <v>7</v>
      </c>
      <c r="E31" s="133">
        <v>0.8</v>
      </c>
      <c r="F31" s="52">
        <v>4</v>
      </c>
      <c r="G31" s="52">
        <v>112</v>
      </c>
      <c r="H31" s="136" t="s">
        <v>43</v>
      </c>
    </row>
    <row r="32" spans="2:10">
      <c r="B32" s="55" t="s">
        <v>322</v>
      </c>
      <c r="C32" s="58">
        <v>6</v>
      </c>
      <c r="D32" s="58">
        <v>5</v>
      </c>
      <c r="E32" s="134">
        <v>0.6</v>
      </c>
      <c r="F32" s="58">
        <v>4</v>
      </c>
      <c r="G32" s="58">
        <v>45</v>
      </c>
      <c r="H32" s="137" t="s">
        <v>50</v>
      </c>
    </row>
    <row r="34" spans="2:8">
      <c r="B34" s="151" t="s">
        <v>357</v>
      </c>
      <c r="C34" s="151"/>
      <c r="D34" s="151"/>
      <c r="E34" s="151"/>
      <c r="F34" s="151"/>
      <c r="G34" s="151"/>
      <c r="H34" s="151"/>
    </row>
    <row r="36" spans="2:8">
      <c r="B36" s="150" t="s">
        <v>356</v>
      </c>
      <c r="C36" s="150"/>
      <c r="D36" s="150"/>
      <c r="E36" s="150"/>
      <c r="F36" s="150"/>
      <c r="G36" s="150"/>
    </row>
    <row r="37" spans="2:8">
      <c r="B37" s="2" t="s">
        <v>323</v>
      </c>
      <c r="C37" s="2" t="s">
        <v>324</v>
      </c>
      <c r="D37" s="2" t="s">
        <v>325</v>
      </c>
      <c r="E37" s="2" t="s">
        <v>326</v>
      </c>
      <c r="F37" s="2" t="s">
        <v>253</v>
      </c>
      <c r="G37" s="2" t="s">
        <v>84</v>
      </c>
    </row>
    <row r="38" spans="2:8" ht="43.5">
      <c r="B38" s="52" t="s">
        <v>259</v>
      </c>
      <c r="C38" s="52" t="s">
        <v>327</v>
      </c>
      <c r="D38" s="52" t="s">
        <v>328</v>
      </c>
      <c r="E38" s="52" t="s">
        <v>329</v>
      </c>
      <c r="F38" s="52" t="s">
        <v>330</v>
      </c>
      <c r="G38" s="52" t="s">
        <v>331</v>
      </c>
    </row>
    <row r="39" spans="2:8" ht="43.5">
      <c r="B39" s="52" t="s">
        <v>267</v>
      </c>
      <c r="C39" s="52" t="s">
        <v>332</v>
      </c>
      <c r="D39" s="52" t="s">
        <v>333</v>
      </c>
      <c r="E39" s="52" t="s">
        <v>334</v>
      </c>
      <c r="F39" s="52" t="s">
        <v>335</v>
      </c>
      <c r="G39" s="52" t="s">
        <v>331</v>
      </c>
    </row>
    <row r="40" spans="2:8" ht="43.5">
      <c r="B40" s="52" t="s">
        <v>271</v>
      </c>
      <c r="C40" s="52" t="s">
        <v>336</v>
      </c>
      <c r="D40" s="52" t="s">
        <v>337</v>
      </c>
      <c r="E40" s="52" t="s">
        <v>338</v>
      </c>
      <c r="F40" s="52" t="s">
        <v>339</v>
      </c>
      <c r="G40" s="52" t="s">
        <v>331</v>
      </c>
    </row>
    <row r="41" spans="2:8" ht="43.5">
      <c r="B41" s="52" t="s">
        <v>280</v>
      </c>
      <c r="C41" s="52" t="s">
        <v>340</v>
      </c>
      <c r="D41" s="52" t="s">
        <v>341</v>
      </c>
      <c r="E41" s="52" t="s">
        <v>342</v>
      </c>
      <c r="F41" s="52" t="s">
        <v>343</v>
      </c>
      <c r="G41" s="52" t="s">
        <v>331</v>
      </c>
    </row>
    <row r="42" spans="2:8" ht="43.5">
      <c r="B42" s="52" t="s">
        <v>344</v>
      </c>
      <c r="C42" s="52" t="s">
        <v>345</v>
      </c>
      <c r="D42" s="52" t="s">
        <v>346</v>
      </c>
      <c r="E42" s="52" t="s">
        <v>347</v>
      </c>
      <c r="F42" s="52" t="s">
        <v>348</v>
      </c>
      <c r="G42" s="52" t="s">
        <v>331</v>
      </c>
    </row>
    <row r="43" spans="2:8" ht="43.5">
      <c r="B43" s="79" t="s">
        <v>349</v>
      </c>
      <c r="C43" s="79" t="s">
        <v>350</v>
      </c>
      <c r="D43" s="79" t="s">
        <v>351</v>
      </c>
      <c r="E43" s="79" t="s">
        <v>352</v>
      </c>
      <c r="F43" s="79" t="s">
        <v>353</v>
      </c>
      <c r="G43" s="79" t="s">
        <v>331</v>
      </c>
    </row>
  </sheetData>
  <mergeCells count="7">
    <mergeCell ref="B21:H21"/>
    <mergeCell ref="B36:G36"/>
    <mergeCell ref="B34:H34"/>
    <mergeCell ref="A1:I1"/>
    <mergeCell ref="A2:I2"/>
    <mergeCell ref="B6:H8"/>
    <mergeCell ref="B5:H5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Segment Analysis</vt:lpstr>
      <vt:lpstr>Root Cause</vt:lpstr>
      <vt:lpstr>Cohort Retention</vt:lpstr>
      <vt:lpstr>RFM Segments</vt:lpstr>
      <vt:lpstr>PM 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Mishra</dc:creator>
  <cp:lastModifiedBy>Ishita Mishra</cp:lastModifiedBy>
  <dcterms:created xsi:type="dcterms:W3CDTF">2026-03-23T04:38:32Z</dcterms:created>
  <dcterms:modified xsi:type="dcterms:W3CDTF">2026-03-24T09:51:31Z</dcterms:modified>
</cp:coreProperties>
</file>